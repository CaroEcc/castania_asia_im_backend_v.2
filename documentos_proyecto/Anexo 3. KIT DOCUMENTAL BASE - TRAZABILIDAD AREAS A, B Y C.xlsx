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DIA 3\INFORME PRODUCTO 1. TRAZABILIAD\"/>
    </mc:Choice>
  </mc:AlternateContent>
  <xr:revisionPtr revIDLastSave="0" documentId="13_ncr:1_{E83FE3A6-D2CC-4083-BAC8-039DEE63EF27}" xr6:coauthVersionLast="47" xr6:coauthVersionMax="47" xr10:uidLastSave="{00000000-0000-0000-0000-000000000000}"/>
  <bookViews>
    <workbookView xWindow="-120" yWindow="-120" windowWidth="20730" windowHeight="11160" tabRatio="500" xr2:uid="{00000000-000D-0000-FFFF-FFFF00000000}"/>
  </bookViews>
  <sheets>
    <sheet name="CARÁTULA" sheetId="1" r:id="rId1"/>
    <sheet name="INTRODUCCIÓN" sheetId="2" r:id="rId2"/>
    <sheet name="MENU" sheetId="3" r:id="rId3"/>
    <sheet name="AREA A 1.1." sheetId="18" r:id="rId4"/>
    <sheet name="AREA A 1.2" sheetId="4" r:id="rId5"/>
    <sheet name="AREA B 2.1" sheetId="8" r:id="rId6"/>
    <sheet name="AREA 2.2" sheetId="9" r:id="rId7"/>
    <sheet name="AREA B 2.3" sheetId="10" r:id="rId8"/>
    <sheet name="AREA B 2.4" sheetId="11" r:id="rId9"/>
    <sheet name="AREA B 2.5" sheetId="12" r:id="rId10"/>
    <sheet name="AREA C 3.1." sheetId="15" r:id="rId11"/>
    <sheet name="AREA C 3.2." sheetId="16" r:id="rId12"/>
    <sheet name="AREA C 3.3. " sheetId="17" r:id="rId13"/>
  </sheets>
  <definedNames>
    <definedName name="_xlnm.Print_Area" localSheetId="6">'AREA 2.2'!$B$7:$I$26</definedName>
    <definedName name="_xlnm.Print_Area" localSheetId="4">'AREA A 1.2'!$B$8:$N$20</definedName>
    <definedName name="_xlnm.Print_Area" localSheetId="5">'AREA B 2.1'!$B$13:$H$24</definedName>
    <definedName name="_xlnm.Print_Area" localSheetId="7">'AREA B 2.3'!$B$7:$H$27</definedName>
    <definedName name="_xlnm.Print_Area" localSheetId="8">'AREA B 2.4'!$B$7:$H$39</definedName>
    <definedName name="_xlnm.Print_Area" localSheetId="9">'AREA B 2.5'!$B$7:$I$33</definedName>
    <definedName name="_xlnm.Print_Area" localSheetId="10">'AREA C 3.1.'!$B$7:$J$31</definedName>
    <definedName name="_xlnm.Print_Area" localSheetId="11">'AREA C 3.2.'!$B$7:$G$24</definedName>
    <definedName name="_xlnm.Print_Area" localSheetId="12">'AREA C 3.3. '!$B$7:$M$47</definedName>
    <definedName name="_xlnm.Print_Area" localSheetId="0">CARÁTULA!$A$1:$J$30</definedName>
    <definedName name="_xlnm.Print_Area" localSheetId="1">INTRODUCCIÓN!$B$1:$K$18</definedName>
    <definedName name="_xlnm.Print_Area" localSheetId="2">MENU!$B$1:$F$18</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C19" i="8" l="1"/>
  <c r="C37" i="17"/>
  <c r="D15" i="17"/>
  <c r="C15" i="17"/>
  <c r="J24" i="11"/>
  <c r="J23" i="11"/>
  <c r="J22" i="11"/>
  <c r="J21" i="11"/>
  <c r="J20" i="11"/>
  <c r="J19" i="11"/>
  <c r="J18" i="11"/>
  <c r="J17" i="11"/>
  <c r="J16" i="11"/>
  <c r="J15" i="11"/>
  <c r="J14" i="11"/>
  <c r="J13" i="11"/>
  <c r="J12" i="11"/>
  <c r="J11" i="11"/>
  <c r="J10" i="11"/>
  <c r="M40" i="10"/>
  <c r="M35" i="10"/>
  <c r="M30" i="10"/>
  <c r="M25" i="10"/>
  <c r="M20" i="10"/>
  <c r="L35" i="8"/>
  <c r="L34" i="8"/>
  <c r="L33" i="8"/>
  <c r="L32" i="8"/>
  <c r="L31" i="8"/>
  <c r="L30" i="8"/>
  <c r="L29" i="8"/>
  <c r="L28" i="8"/>
  <c r="L27" i="8"/>
  <c r="L26" i="8"/>
  <c r="L25" i="8"/>
  <c r="L24" i="8"/>
  <c r="L23" i="8"/>
  <c r="L22" i="8"/>
  <c r="L21" i="8"/>
  <c r="L20" i="8"/>
  <c r="J36" i="8"/>
  <c r="L19" i="8"/>
  <c r="H16" i="4"/>
  <c r="H15" i="4"/>
  <c r="H14" i="4"/>
  <c r="E17" i="4"/>
  <c r="L36" i="8" l="1"/>
  <c r="H17" i="4"/>
</calcChain>
</file>

<file path=xl/sharedStrings.xml><?xml version="1.0" encoding="utf-8"?>
<sst xmlns="http://schemas.openxmlformats.org/spreadsheetml/2006/main" count="529" uniqueCount="288">
  <si>
    <t xml:space="preserve">KIT DOCUMENTAL BASE - TRAZABILIDAD AREAS A, B Y C                                                                                                                            Proyecto "Vinculando emprendimientos de manejo de frutos amazónicos de Pando con mercados de consumo consciente" </t>
  </si>
  <si>
    <t>INTRODUCCIÓN:</t>
  </si>
  <si>
    <t xml:space="preserve">El ecosistema de recolección de Productos Forestales No Maderables (PFNM) en la Amazonía boliviana (como el asaí silvestre y la palma real) se enfrenta a una conjunción de desafíos logísticos y presiones normativas globales.                                                                                                                                                               - Vulnerabilidad Logística y Asimetrías: El aprovechamiento de estos frutos enfrenta una restricción biológica inalterable: su extrema perecibilidad exige un procesamiento en un margen inferior a 72 horas. Esta urgencia, sumada a las severas asimetrías de información, limita el poder de negociación de las familias recolectoras en el mercado local.
- Presión Normativa Internacional (EUDR y SIC): Actualmente, los mercados internacionales exigen sistemas robustos que demuestren no solo la certificación de producción orgánica mediante un Sistema Interno de Control (SIC), sino también el cumplimiento del Reglamento Europeo sobre Productos Libres de Deforestación (EUDR). El EUDR impone un reto tecnológico sin precedentes al exigir coordenadas de geolocalización exactas (polígonos GPS) que prueben la ausencia de deforestación posterior al 31 de diciembre de 2020.
- Fragmentación y "Fatiga del Informante": A pesar de la urgencia de estas normativas, las organizaciones productoras padecen deficiencias estructurales: información dispersa, falta de trazabilidad documental integrada y debilidad en las auditorías. Obligar al recolector silvestre a llenar múltiples formularios desconectados en papel —uno para precios, otro para coordenadas EUDR y un tercero para la certificación orgánica— conduce inevitablemente al fracaso del sistema debido a la "fatiga del informante" y a la creación de "islas de datos".
En este contexto, la trazabilidad deja de ser un simple archivo de documentos físicos para convertirse en una necesidad de supervivencia comercial y gestión de riesgos. </t>
  </si>
  <si>
    <t>OBJETIVO GENERAL:</t>
  </si>
  <si>
    <t xml:space="preserve">El objetivo central del "Kit Documental Base" no es generar más burocracia ni papelería, sino armonizar, simplificar y digitalizar los registros físicos actuales del Sistema Interno de Control (SIC) adaptándolos a la recolección silvestre. </t>
  </si>
  <si>
    <t>ALCANCE DE LOS INSTRUMENTOS</t>
  </si>
  <si>
    <t>El alcance del "Kit Documental Base" trasciende la simple digitalización de formularios para constituirse como un ecosistema integral de gestión de riesgos, inteligencia comercial y cumplimiento normativo. Su cobertura abarca de extremo a extremo la cadena de valor del asaí silvestre y la palma real, operando de manera asincrónica (Store-and-Forward) para interconectar el bosque profundo con los mercados de exportación.
A continuación, se detalla el alcance operativo, legal y comercial de los instrumentos estructurados en los tres eslabones de la cadena:
- ÁREA A: EL BOSQUE / ORIGEN (Alcance Socio-Legal y Territorial): El alcance en esta área cubre la captura de información primaria bajo el dosel amazónico, operando 100% offline (en "sombra digital"). Su límite de acción abarca desde la identificación del recolector hasta la validación territorial que exige el mercado europeo.                                                                                                                                                                          - ÁREA B: PLANTA DE PROCESAMIENTO (Alcance de Calidad y Eficiencia Industrial): El alcance en esta área cubre los procesos de transformación en los centros de acopio (Planta Despulpadora). Sus instrumentos auditan que la materia prima silvestre mantenga su integridad y no sufra contaminación ni adulteración.                                                                                                                                                       - ÁREA C: COMERCIALIZACIÓN Y MERCADOS (Alcance Financiero y Garantía Global): El alcance final del sistema cubre la salida del producto terminado hacia el comprador final. Estos instrumentos consolidan las Áreas A y B para convertirlas en evidencias comerciales auditable.                                                                                                           La delimitación de este "Kit Documental Base" garantiza que la captura de datos no sea una sobrecarga burocrática dispersa. El alcance sistémico logra que el mismo esfuerzo de 5 minutos realizado bajo el dosel amazónico alimente de forma simultánea el reporte legal de tenencia (SERNAP/ABT), el historial de producción orgánica (CERES), la evaluación de riesgos satelitales (EUDR) y los tableros de rentabilidad interna de las asociaciones (OFACC)</t>
  </si>
  <si>
    <t xml:space="preserve">FORMULARIOS DE INSTRUMENTOS </t>
  </si>
  <si>
    <t xml:space="preserve">1.1. </t>
  </si>
  <si>
    <t>2.1</t>
  </si>
  <si>
    <t>Registro de Ingreso de Fruta</t>
  </si>
  <si>
    <t>2.2</t>
  </si>
  <si>
    <t>2.3.</t>
  </si>
  <si>
    <t>2.4.</t>
  </si>
  <si>
    <t>2.5.</t>
  </si>
  <si>
    <t>3.1</t>
  </si>
  <si>
    <t>3.2</t>
  </si>
  <si>
    <t>Matriz de Procesos</t>
  </si>
  <si>
    <t>3.3</t>
  </si>
  <si>
    <t>Registro de Despacho de Materia Prima</t>
  </si>
  <si>
    <t>Proceso</t>
  </si>
  <si>
    <t>Cantidad</t>
  </si>
  <si>
    <t>Unidad</t>
  </si>
  <si>
    <t>Selección</t>
  </si>
  <si>
    <t>Lavado</t>
  </si>
  <si>
    <t>Despulpado</t>
  </si>
  <si>
    <t>PRODUCTO:</t>
  </si>
  <si>
    <t>Hora Inicio:</t>
  </si>
  <si>
    <t>Responsable/ Nombre</t>
  </si>
  <si>
    <t>Tareas principales</t>
  </si>
  <si>
    <t>Herramientas/ Equipos</t>
  </si>
  <si>
    <t>Recolección</t>
  </si>
  <si>
    <t>Transporte</t>
  </si>
  <si>
    <t>Pesado</t>
  </si>
  <si>
    <t>Envasado</t>
  </si>
  <si>
    <t xml:space="preserve">Almacenamiento, refrigerado </t>
  </si>
  <si>
    <t xml:space="preserve">Transporte </t>
  </si>
  <si>
    <t>Comercialización</t>
  </si>
  <si>
    <t>Cédula de Identidad (C.I.)</t>
  </si>
  <si>
    <t>DATOS DEL RECOLECTOR Y/ COSECHADOR</t>
  </si>
  <si>
    <t>Estado de certificación orgánica</t>
  </si>
  <si>
    <t xml:space="preserve">Especie(s) aprovechada(s) </t>
  </si>
  <si>
    <t xml:space="preserve">Observaciones </t>
  </si>
  <si>
    <t>Nombre y apellido:</t>
  </si>
  <si>
    <t>Organización/Comunidad:</t>
  </si>
  <si>
    <t>Código (Recolector o Cosechador)</t>
  </si>
  <si>
    <t>Estado de Recepción (Aceptado/Rechazado)</t>
  </si>
  <si>
    <t>Comunidad:</t>
  </si>
  <si>
    <t xml:space="preserve">Producción estimada de la zafra (kg/libras) </t>
  </si>
  <si>
    <t xml:space="preserve">Superficie de uso declarada (ha) </t>
  </si>
  <si>
    <t>Firma Recolector o Cosechado</t>
  </si>
  <si>
    <t>Firma de Responsable de Acopio</t>
  </si>
  <si>
    <t>…............................................................................</t>
  </si>
  <si>
    <t>….............................................</t>
  </si>
  <si>
    <t>Polígono o puntos GPS del área</t>
  </si>
  <si>
    <t>Documento de tenencia o PGIBT</t>
  </si>
  <si>
    <t>TOTAL</t>
  </si>
  <si>
    <t>Proyecto: Vinculando emprendimientos de manejo de frutos amazónicos de Pando con mercados de consumo consciente</t>
  </si>
  <si>
    <t>Kit Documental Base – Trazabilidad Áreas A, B y C  |  ACEAA-Trópico  |  Instrumento 1.1</t>
  </si>
  <si>
    <t>29/'7/2026</t>
  </si>
  <si>
    <t>Entrega                          (Saco u otro)</t>
  </si>
  <si>
    <t>Saco</t>
  </si>
  <si>
    <t>Medio de Transporte  (Fluvial/Terrestre)</t>
  </si>
  <si>
    <t>Peso de Entrega de Asaí (Kg)</t>
  </si>
  <si>
    <t>Hora Cosecha (hh:mm)</t>
  </si>
  <si>
    <t>Hora Recepción (hh:mm)</t>
  </si>
  <si>
    <t>Total de horas (Recepción - Cosecha)</t>
  </si>
  <si>
    <t>KIT DOCUMENTAL BASE – INTRODUCCIÓN, OBJETIVO Y ALCANCE</t>
  </si>
  <si>
    <t>KIT DOCUMENTAL</t>
  </si>
  <si>
    <t>Kit Documental Base – Trazabilidad Áreas A, B y C  |  ACEAA-Trópico</t>
  </si>
  <si>
    <t>KIT DOCUMENTAL BASE – ÍNDICE DE INSTRUMENTOS</t>
  </si>
  <si>
    <t>MENU</t>
  </si>
  <si>
    <t xml:space="preserve">ÁREA A </t>
  </si>
  <si>
    <t xml:space="preserve">ÁREA B </t>
  </si>
  <si>
    <t xml:space="preserve">ÁREA C </t>
  </si>
  <si>
    <t>Datos del Responsable Nombre:</t>
  </si>
  <si>
    <t>N° Lote Acopio Materia Prima:</t>
  </si>
  <si>
    <t>Organico</t>
  </si>
  <si>
    <t>Convencional</t>
  </si>
  <si>
    <t>Fruto:</t>
  </si>
  <si>
    <t>Diario recepcion de Materia Prima</t>
  </si>
  <si>
    <t>Comprobante de compra de materia prima</t>
  </si>
  <si>
    <t>Nombre</t>
  </si>
  <si>
    <t>Comunidad</t>
  </si>
  <si>
    <t>Tipo de Asai</t>
  </si>
  <si>
    <t>N° de Compra</t>
  </si>
  <si>
    <t>Peso en Kg</t>
  </si>
  <si>
    <t>Precio Bs/Kg</t>
  </si>
  <si>
    <t>Precio Total Bs</t>
  </si>
  <si>
    <t>Fruto Entregado Firma</t>
  </si>
  <si>
    <t>Fruto Pagado Firma</t>
  </si>
  <si>
    <t>Altura</t>
  </si>
  <si>
    <t>Bajío</t>
  </si>
  <si>
    <t xml:space="preserve">                                                                                                                        </t>
  </si>
  <si>
    <t>Total Kilos Fruto</t>
  </si>
  <si>
    <t>Total Bs.-</t>
  </si>
  <si>
    <t>Observaciones:</t>
  </si>
  <si>
    <t>Datos del Responsable Nombre :</t>
  </si>
  <si>
    <r>
      <t>Actividad Realizada:</t>
    </r>
    <r>
      <rPr>
        <b/>
        <i/>
        <sz val="11"/>
        <color theme="1"/>
        <rFont val="Calibri (Cuerpo)"/>
      </rPr>
      <t xml:space="preserve"> </t>
    </r>
    <r>
      <rPr>
        <b/>
        <i/>
        <sz val="11"/>
        <color rgb="FF7030A0"/>
        <rFont val="Calibri (Cuerpo)"/>
      </rPr>
      <t>Limpieza en Seco e Inmersion en Agua Potable de Frutos Silvestres de Asai Organico</t>
    </r>
  </si>
  <si>
    <t>Hora Final:</t>
  </si>
  <si>
    <t>N° Lote Materia Prima:</t>
  </si>
  <si>
    <t>Total de Frutos Ingresando a Proceso en Kg</t>
  </si>
  <si>
    <t>Manejo de Produccion (Marcar con una X)</t>
  </si>
  <si>
    <t>Numero de Procesos según volumen de frutos</t>
  </si>
  <si>
    <t>Materiales y accesorios  disponibles por proceso</t>
  </si>
  <si>
    <t>Actividades de Proceso</t>
  </si>
  <si>
    <t>Zaranda de Acero Inoxidable</t>
  </si>
  <si>
    <t>Espumadera</t>
  </si>
  <si>
    <t>Canastas Plásticas</t>
  </si>
  <si>
    <t>Tanque PVC de 1000 Litros de capacidad</t>
  </si>
  <si>
    <t>Paleta grande de PVC</t>
  </si>
  <si>
    <t>Balanza Electrónica</t>
  </si>
  <si>
    <t xml:space="preserve">Numero de Proceso: </t>
  </si>
  <si>
    <t>Limpieza en seco</t>
  </si>
  <si>
    <t xml:space="preserve">Hora Inicio: </t>
  </si>
  <si>
    <t>Residuos en Kg:</t>
  </si>
  <si>
    <t>Tipo de recipiente para inmersión de frutos: T1000</t>
  </si>
  <si>
    <t>Lavado de frutos con agua potable (inmersión)</t>
  </si>
  <si>
    <t xml:space="preserve">Hora Final: </t>
  </si>
  <si>
    <t xml:space="preserve">Observaciones: 
</t>
  </si>
  <si>
    <t xml:space="preserve">
Firma Responsable de Planilla
Bobo Resp. Plant
VoBo Resp. Control Calidad</t>
  </si>
  <si>
    <r>
      <t xml:space="preserve">Actividad Realizada: </t>
    </r>
    <r>
      <rPr>
        <b/>
        <i/>
        <sz val="11"/>
        <color rgb="FF7030A0"/>
        <rFont val="Arial Black"/>
        <family val="2"/>
      </rPr>
      <t xml:space="preserve">Ablandamiento y Enfriado de Frutos de Asaí </t>
    </r>
  </si>
  <si>
    <t>N° Lote Materia Prima :</t>
  </si>
  <si>
    <t>Total de Frutos Ingresando a Proceso Kg</t>
  </si>
  <si>
    <t>Calentado de agua: Leña        -  Calefon a Gas           Termosolar</t>
  </si>
  <si>
    <t>Desinfectante para equipos</t>
  </si>
  <si>
    <t>Medicion de Temperatura:  Infrarojo                   Sonda Abatible</t>
  </si>
  <si>
    <t>Paleta de PVC</t>
  </si>
  <si>
    <t>Materiales de Limpieza (pisos y paredes)</t>
  </si>
  <si>
    <t>Tanque PVC: 1000 L          Cantidad                 - 500 L           -  Cantidad</t>
  </si>
  <si>
    <t>Manguera silicona             Hidrolavadora</t>
  </si>
  <si>
    <t>Cantidad Agua Ablandamiento</t>
  </si>
  <si>
    <t xml:space="preserve">Hora de Inicio: </t>
  </si>
  <si>
    <t>Tipo de recipiente para Ablandamiento:     T1000                 Cantidad</t>
  </si>
  <si>
    <t>Cantidad Agua enfriado T1000L</t>
  </si>
  <si>
    <t>Temperatura Inicio</t>
  </si>
  <si>
    <t xml:space="preserve">Tipo de recipiente para enfriado:              </t>
  </si>
  <si>
    <t>Cantidad Agua enfriado Canastas</t>
  </si>
  <si>
    <t>Temperatura Intermedia</t>
  </si>
  <si>
    <t>T1000        Cantidad                 T500        Cantidad                 Canastas PVC         Cantidad</t>
  </si>
  <si>
    <t>Total Agua utilizada en el proceso</t>
  </si>
  <si>
    <t>Temperatura Final</t>
  </si>
  <si>
    <t xml:space="preserve">Cantidad en Kg </t>
  </si>
  <si>
    <t>Cantidad de Agua en Litros</t>
  </si>
  <si>
    <t>Temperatura Ingreso de Frutos</t>
  </si>
  <si>
    <t>Temperatura salida de Frutos</t>
  </si>
  <si>
    <r>
      <t xml:space="preserve">Observaciones: 
</t>
    </r>
    <r>
      <rPr>
        <sz val="12"/>
        <color theme="1"/>
        <rFont val="Calibri"/>
        <family val="2"/>
        <scheme val="minor"/>
      </rPr>
      <t xml:space="preserve">
</t>
    </r>
  </si>
  <si>
    <t xml:space="preserve">
Firma Responsable de Planilla
VoBo Resp. Plant
VoBo Resp. Control Calidad</t>
  </si>
  <si>
    <t xml:space="preserve">Datos del Responsable Nombres y Apellidos:                                                                                                </t>
  </si>
  <si>
    <t>Numero de Lote Materia Prima:</t>
  </si>
  <si>
    <r>
      <t xml:space="preserve">Actividad Realizada: </t>
    </r>
    <r>
      <rPr>
        <b/>
        <i/>
        <sz val="12"/>
        <color theme="1"/>
        <rFont val="Calibri"/>
        <family val="2"/>
        <scheme val="minor"/>
      </rPr>
      <t xml:space="preserve">Elaboracion de Pulpa de Asai  </t>
    </r>
  </si>
  <si>
    <t>Fecha Proceso</t>
  </si>
  <si>
    <t>Hora de Inicio</t>
  </si>
  <si>
    <t>Hora Final</t>
  </si>
  <si>
    <t>Lote Producto Terminado</t>
  </si>
  <si>
    <t xml:space="preserve">Premiun </t>
  </si>
  <si>
    <t xml:space="preserve">Popular </t>
  </si>
  <si>
    <t>Unidad Envase</t>
  </si>
  <si>
    <t>Total Kg/
Fruto</t>
  </si>
  <si>
    <t xml:space="preserve"> Total Kg/
Pulpa</t>
  </si>
  <si>
    <t>Rend. Pulpa/
Fruta</t>
  </si>
  <si>
    <t>Porc. de Solidos</t>
  </si>
  <si>
    <t>Grados Brix</t>
  </si>
  <si>
    <t>Ph</t>
  </si>
  <si>
    <t xml:space="preserve">
Firma Responsable de Planilla
VoBo Resp. Plant
VoBo Resp. Control Calidad</t>
  </si>
  <si>
    <t>Datos del Responsable Nombres y Apellidos:</t>
  </si>
  <si>
    <t>Actividad Realizada: Inventario Producto Terminado Choque Termico</t>
  </si>
  <si>
    <t>El numero de Lote consta de:</t>
  </si>
  <si>
    <t>Nº de Freezer</t>
  </si>
  <si>
    <t>Nº de Lote Producto Terminado</t>
  </si>
  <si>
    <t>Tipo de Pulpa</t>
  </si>
  <si>
    <t>Tipo de Envase</t>
  </si>
  <si>
    <t>Fecha de Ingreso</t>
  </si>
  <si>
    <t>Fecha de Salida</t>
  </si>
  <si>
    <t>M</t>
  </si>
  <si>
    <t>Majo</t>
  </si>
  <si>
    <t>C</t>
  </si>
  <si>
    <t>Copoazu</t>
  </si>
  <si>
    <t>PR</t>
  </si>
  <si>
    <t>Palma Real</t>
  </si>
  <si>
    <t>Fecha de Proceso</t>
  </si>
  <si>
    <t>Mes</t>
  </si>
  <si>
    <t>Día</t>
  </si>
  <si>
    <t>Turno de Elaboración</t>
  </si>
  <si>
    <t xml:space="preserve">Mañana </t>
  </si>
  <si>
    <t>Tarde</t>
  </si>
  <si>
    <t xml:space="preserve">T </t>
  </si>
  <si>
    <t>Gestión</t>
  </si>
  <si>
    <t>Firma Responsable de Planilla
VoBo Resp. Plant
VoBo Resp. Control Calidad</t>
  </si>
  <si>
    <t>Datos del Responsable Nombres:</t>
  </si>
  <si>
    <t xml:space="preserve">Actividad Realizada: Inventario Camara de Frio Producto Terminado </t>
  </si>
  <si>
    <t>A</t>
  </si>
  <si>
    <t>Nº de Lote</t>
  </si>
  <si>
    <t>Estado</t>
  </si>
  <si>
    <t>ESTADO DEL PRODUCTO</t>
  </si>
  <si>
    <t>PROPIEDAD DE LA PULPA DE ASAI</t>
  </si>
  <si>
    <t>FECHA DE DESPACHO</t>
  </si>
  <si>
    <t>NUMERO DE LOTE</t>
  </si>
  <si>
    <t>PESO EN Kg DE PULPA DE ASAI</t>
  </si>
  <si>
    <t>NUMERO DE CAJAS</t>
  </si>
  <si>
    <t>ORIGEN DE LA CARGA</t>
  </si>
  <si>
    <t>DESTINO DE LA CARGA</t>
  </si>
  <si>
    <t>DETALLE DEL TRANSPORTE</t>
  </si>
  <si>
    <t>DATOS DEL PERSONAL QUE DESPACHA Y TRANSPORTA EL PRODUCTO</t>
  </si>
  <si>
    <t>Entrega en Conformidad:</t>
  </si>
  <si>
    <t>Aclaración de la Firma</t>
  </si>
  <si>
    <t>Firma</t>
  </si>
  <si>
    <t>Cargo</t>
  </si>
  <si>
    <t>Recibe en Conformidad Conductor Camión Frigorífico:</t>
  </si>
  <si>
    <t>Aclaración de Firma</t>
  </si>
  <si>
    <t>ENTREGA EN LA EMPRESA ALIMENTOS LIOFILIZADOS NATUR SRL.</t>
  </si>
  <si>
    <t>ENTREGADO POR:</t>
  </si>
  <si>
    <t>TRANSPORTADO POR:</t>
  </si>
  <si>
    <t>RECIBIDO POR:</t>
  </si>
  <si>
    <t xml:space="preserve">C.I. </t>
  </si>
  <si>
    <t>COSTO EN BS.- DEL PRODUCTO TRANSPORTADO</t>
  </si>
  <si>
    <t>PRECIO POR KILO EN BS.-</t>
  </si>
  <si>
    <t>CANTIDAD DE KG TRANSPORTADOS</t>
  </si>
  <si>
    <t>TOTAL, EN BS.-</t>
  </si>
  <si>
    <t xml:space="preserve">ESTADO DE LA PULPA DE ASAI </t>
  </si>
  <si>
    <t>BUENO / CONGELADO</t>
  </si>
  <si>
    <r>
      <t xml:space="preserve">Actividad Realizada: </t>
    </r>
    <r>
      <rPr>
        <b/>
        <i/>
        <sz val="12"/>
        <color theme="1"/>
        <rFont val="Calibri (Cuerpo)"/>
      </rPr>
      <t>Recepcion de materia prima (frutos silvestres)</t>
    </r>
  </si>
  <si>
    <t xml:space="preserve">Ablandamiento y Enfriado de Frutos de Asaí </t>
  </si>
  <si>
    <t>Planilla de control Transformacion de Materia Prima, Transformacion de Frutos Amazonicos</t>
  </si>
  <si>
    <t>Planilla de control Inventario Choque Termico, Transformacion de Frutos Amazonicos</t>
  </si>
  <si>
    <t>Kit Documental Base – Trazabilidad Áreas A, B y C  |  ACEAA</t>
  </si>
  <si>
    <t>Código: PR-VF/23/24-01</t>
  </si>
  <si>
    <t>Versión: Rev. 01     Fecha:  ___ /___ /______</t>
  </si>
  <si>
    <t>◄ MENU</t>
  </si>
  <si>
    <t>PLANILLA DE CONTROL - RECEPCIÓN DE MATERIA PRIMA - FRUTOS AMAZÓNICOS (INSTRUMENTO 2.1 - ÁREA B)</t>
  </si>
  <si>
    <t>Responsable:</t>
  </si>
  <si>
    <t>N° Lote Acopio:</t>
  </si>
  <si>
    <t>Código: P1lsi-VF/23/24-02</t>
  </si>
  <si>
    <t>PROCESO N°1 - LIMPIEZA EN SECO E INMERSIÓN EN AGUA POTABLE DE FRUTOS SILVESTRES DE ASAÍ (INSTRUMENTO 2.2 - ÁREA B)</t>
  </si>
  <si>
    <t>Código: P2ae-VF/23/25-02</t>
  </si>
  <si>
    <t>PROCESO N°2 - ABLANDAMIENTO Y ENFRIADO DE MATERIA PRIMA (INSTRUMENTO 2.3 - ÁREA B)</t>
  </si>
  <si>
    <t>Diferencia Temp (°C)</t>
  </si>
  <si>
    <t>Vinculando emprendimientos de manejo de frutos amazónicos de Pando con mercados de consumo consciente</t>
  </si>
  <si>
    <t>Código: P3de-VF/23/24-02</t>
  </si>
  <si>
    <t>Versión: Rev. 01     Fecha: __ /__ /____</t>
  </si>
  <si>
    <t>PROCESO N°3 – TRANSFORMACIÓN / ELABORACIÓN DE PULPA DE ASAÍ (INSTRUMENTO 2.4 – ÁREA B)</t>
  </si>
  <si>
    <t>Código: P4cht-VF/23/24-02</t>
  </si>
  <si>
    <t>PROCESO N°4 – CONTROL DE INVENTARIO CHOQUE TÉRMICO (INSTRUMENTO 2.5 – ÁREA B)</t>
  </si>
  <si>
    <t>N° Lote:</t>
  </si>
  <si>
    <t>Código: P5cgl-VF/23/24-02</t>
  </si>
  <si>
    <t>PROCESO N°5 – CONTROL DE INVENTARIO PRODUCTO TERMINADO CÁMARA DE FRÍO (INSTRUMENTO 3.1 – ÁREA C)</t>
  </si>
  <si>
    <t>Código: Pmcpf-VF/23/24-01</t>
  </si>
  <si>
    <t>Rev. 01  Fecha: __/__/____</t>
  </si>
  <si>
    <t>MATRIZ DE PROCESOS – PLANTA PILOTO DE PROCESAMIENTO DE PULPA DE ASAÍ (INSTRUMENTO 3.2 – ÁREA C)</t>
  </si>
  <si>
    <t>Fecha:</t>
  </si>
  <si>
    <t>Rev. 01 / Fecha: __/__/__</t>
  </si>
  <si>
    <t>MANIFIESTO DE CARGA DE PULPA DE ASAÍ – REGISTRO DE DESPACHO Y RUTEO (INSTRUMENTO 3.3 – ÁREA C)</t>
  </si>
  <si>
    <t>Código: REG-SIC-1.1</t>
  </si>
  <si>
    <t>Rev. 01   Fecha: __/__/____</t>
  </si>
  <si>
    <t>Fecha de Registro:</t>
  </si>
  <si>
    <t xml:space="preserve">Ficha Integral del Recolectro y/o Cosechador para ASAI </t>
  </si>
  <si>
    <t xml:space="preserve">Lista de recolectores Silvestres de Asai del Area Protegida </t>
  </si>
  <si>
    <t>INSTRUMENTO 1.2 – FICHA INTEGRAL DEL RECOLECTOR Y/O COSECHADOR (PADRÓN SIC) – ÁREA A</t>
  </si>
  <si>
    <t>INSTRUMENTO 1.1 – LISTA DE RECOLECTORES SILVESTRES DE ASAI DEL AREA PROTEGIDA</t>
  </si>
  <si>
    <t xml:space="preserve">SOLICITANTE </t>
  </si>
  <si>
    <t>CI</t>
  </si>
  <si>
    <t xml:space="preserve">EXP: </t>
  </si>
  <si>
    <t xml:space="preserve">COMUNIDAD: </t>
  </si>
  <si>
    <t xml:space="preserve">COSECHA: </t>
  </si>
  <si>
    <t xml:space="preserve">Fecha Inicio de Recolecccion: </t>
  </si>
  <si>
    <t xml:space="preserve">Fecha Finaliación de Recolecccion: </t>
  </si>
  <si>
    <t>N° dias de recolección</t>
  </si>
  <si>
    <r>
      <t xml:space="preserve">ARTICULO 20: (PROTECCION DE LA FLORA Y FAUNA SILVESTRE). </t>
    </r>
    <r>
      <rPr>
        <sz val="10"/>
        <color theme="1"/>
        <rFont val="Bookman Old Style"/>
        <family val="1"/>
      </rPr>
      <t>La RNVSA al constiutuirse una AP con categoriade Reserva de Voda Silstre tiene com o finalidad fundamental  la proteccion y conservacion de especie</t>
    </r>
    <r>
      <rPr>
        <b/>
        <sz val="10"/>
        <color theme="1"/>
        <rFont val="Bookman Old Style"/>
        <family val="1"/>
      </rPr>
      <t xml:space="preserve">s </t>
    </r>
    <r>
      <rPr>
        <sz val="10"/>
        <color theme="1"/>
        <rFont val="Bookman Old Style"/>
        <family val="1"/>
      </rPr>
      <t>de plantas y animales. En este sentido () QUEDA PROHIBIDA LA RECOLECCION DE ASAI DEL PERIODO DE ZAFRAAUTORIZADO (ZAFRILLA)</t>
    </r>
  </si>
  <si>
    <t>CODIGO</t>
  </si>
  <si>
    <t>NONBRE DEL RECOLECTOR</t>
  </si>
  <si>
    <t>C. I,</t>
  </si>
  <si>
    <t xml:space="preserve">ESTADO DE RECOLECCION </t>
  </si>
  <si>
    <t>SUPERFICIE (KM2)</t>
  </si>
  <si>
    <t xml:space="preserve">N° </t>
  </si>
  <si>
    <r>
      <t xml:space="preserve">Fecha de Recolección </t>
    </r>
    <r>
      <rPr>
        <i/>
        <sz val="11"/>
        <color theme="0"/>
        <rFont val="Calibri"/>
        <family val="1"/>
        <charset val="1"/>
      </rPr>
      <t>(Cosecha)</t>
    </r>
  </si>
  <si>
    <r>
      <t xml:space="preserve">Fecha de Entrega </t>
    </r>
    <r>
      <rPr>
        <i/>
        <sz val="11"/>
        <color theme="0"/>
        <rFont val="Calibri"/>
        <family val="1"/>
        <charset val="1"/>
      </rPr>
      <t>(Recepción)</t>
    </r>
  </si>
  <si>
    <t>Codigo</t>
  </si>
  <si>
    <t>German Gongora Soliz</t>
  </si>
  <si>
    <t>ORGANICO</t>
  </si>
  <si>
    <t>ZONA DE AUTORIZACION</t>
  </si>
  <si>
    <t>VF-GGS</t>
  </si>
  <si>
    <t>ZONA DE</t>
  </si>
  <si>
    <t>AUTORIZACIO</t>
  </si>
  <si>
    <t xml:space="preserve">1.2. </t>
  </si>
  <si>
    <t>Limpieza en Seco e Inmersión en Agua Potable de Frutos Silvestres de Asaí</t>
  </si>
  <si>
    <t>Control de Inventario de Producto Terminado en Cámara de Frío</t>
  </si>
  <si>
    <t>Código: REG-SIC-1.2</t>
  </si>
  <si>
    <t>Código: Pmcpf-VF/23/24-02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</si>
</sst>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_);_(@_)"/>
    <numFmt numFmtId="165" formatCode="h:mm"/>
    <numFmt numFmtId="166" formatCode="_-&quot;Bs&quot;* #,##0_-;&quot;-Bs&quot;* #,##0_-;_-&quot;Bs&quot;* \-??_-;_-@_-"/>
    <numFmt numFmtId="167" formatCode="dd/mm/yyyy"/>
    <numFmt numFmtId="168" formatCode="#,##0;\(#,##0\);&quot;-&quot;"/>
    <numFmt numFmtId="169" formatCode="0.0;\(0.0\);&quot;-&quot;"/>
    <numFmt numFmtId="170" formatCode="#,##0.00\ &quot;kg&quot;"/>
    <numFmt numFmtId="171" formatCode="&quot;Bs&quot;\ #,##0.00"/>
    <numFmt numFmtId="172" formatCode="0.0%"/>
    <numFmt numFmtId="173" formatCode="dd/mm/aaaa"/>
  </numFmts>
  <fonts count="86">
    <font>
      <sz val="11"/>
      <color theme="1"/>
      <name val="Calibri"/>
      <family val="2"/>
      <charset val="1"/>
    </font>
    <font>
      <sz val="11"/>
      <color rgb="FF000000"/>
      <name val="Calibri"/>
      <family val="2"/>
      <charset val="1"/>
    </font>
    <font>
      <b/>
      <sz val="18"/>
      <color theme="1"/>
      <name val="Arial Nova Cond"/>
      <family val="2"/>
      <charset val="1"/>
    </font>
    <font>
      <sz val="11"/>
      <color theme="1"/>
      <name val="Arial Nova Cond"/>
      <family val="2"/>
      <charset val="1"/>
    </font>
    <font>
      <sz val="12"/>
      <color theme="1"/>
      <name val="Arial Nova Cond"/>
      <family val="2"/>
      <charset val="1"/>
    </font>
    <font>
      <b/>
      <sz val="12"/>
      <color theme="1"/>
      <name val="Arial Nova Cond"/>
      <family val="2"/>
      <charset val="1"/>
    </font>
    <font>
      <b/>
      <sz val="11"/>
      <color theme="1"/>
      <name val="Arial Nova Cond"/>
      <family val="2"/>
      <charset val="1"/>
    </font>
    <font>
      <sz val="10"/>
      <color theme="1"/>
      <name val="Arial Nova Cond"/>
      <family val="2"/>
      <charset val="1"/>
    </font>
    <font>
      <b/>
      <sz val="11"/>
      <color theme="1"/>
      <name val="Calibri"/>
      <family val="2"/>
      <charset val="1"/>
    </font>
    <font>
      <b/>
      <i/>
      <sz val="11"/>
      <color theme="1"/>
      <name val="Arial Nova Cond"/>
      <family val="2"/>
      <charset val="1"/>
    </font>
    <font>
      <i/>
      <sz val="11"/>
      <color theme="1"/>
      <name val="Arial Nova Cond"/>
      <family val="2"/>
      <charset val="1"/>
    </font>
    <font>
      <b/>
      <i/>
      <sz val="14"/>
      <color theme="1"/>
      <name val="Arial Nova Cond"/>
      <family val="2"/>
      <charset val="1"/>
    </font>
    <font>
      <b/>
      <sz val="14"/>
      <color theme="1"/>
      <name val="Arial Nova Cond"/>
      <family val="2"/>
      <charset val="1"/>
    </font>
    <font>
      <u/>
      <sz val="11"/>
      <color theme="10"/>
      <name val="Calibri"/>
      <family val="2"/>
      <charset val="1"/>
    </font>
    <font>
      <b/>
      <sz val="10"/>
      <color theme="1"/>
      <name val="Bookman Old Style"/>
      <family val="1"/>
    </font>
    <font>
      <b/>
      <sz val="10"/>
      <name val="Bookman Old Style"/>
      <family val="1"/>
    </font>
    <font>
      <b/>
      <sz val="10"/>
      <color rgb="FF000000"/>
      <name val="Bookman Old Style"/>
      <family val="1"/>
    </font>
    <font>
      <b/>
      <sz val="14"/>
      <color rgb="FFFFFFFF"/>
      <name val="Arial Nova Cond"/>
      <family val="2"/>
    </font>
    <font>
      <b/>
      <sz val="11"/>
      <color rgb="FF000000"/>
      <name val="Arial Nova Cond"/>
      <family val="2"/>
    </font>
    <font>
      <i/>
      <sz val="9"/>
      <color rgb="FF595959"/>
      <name val="Arial Nova Cond"/>
      <family val="2"/>
    </font>
    <font>
      <b/>
      <sz val="10"/>
      <color rgb="FFFFFFFF"/>
      <name val="Bookman Old Style"/>
      <family val="1"/>
    </font>
    <font>
      <b/>
      <sz val="11"/>
      <color rgb="FFFFFFFF"/>
      <name val="Bookman Old Style"/>
      <family val="1"/>
    </font>
    <font>
      <i/>
      <sz val="8"/>
      <color rgb="FF808080"/>
      <name val="Arial Nova Cond"/>
      <family val="2"/>
    </font>
    <font>
      <b/>
      <sz val="18"/>
      <color rgb="FF002060"/>
      <name val="Arial Nova Cond"/>
      <family val="2"/>
    </font>
    <font>
      <b/>
      <sz val="11"/>
      <color theme="1"/>
      <name val="Calibri"/>
      <family val="2"/>
      <scheme val="minor"/>
    </font>
    <font>
      <b/>
      <sz val="14"/>
      <color theme="1"/>
      <name val="Calibri"/>
      <family val="2"/>
      <scheme val="minor"/>
    </font>
    <font>
      <b/>
      <sz val="10"/>
      <color theme="1"/>
      <name val="Calibri (Cuerpo)"/>
    </font>
    <font>
      <b/>
      <i/>
      <sz val="11"/>
      <color theme="1"/>
      <name val="Calibri (Cuerpo)"/>
    </font>
    <font>
      <b/>
      <i/>
      <sz val="12"/>
      <color theme="1"/>
      <name val="Calibri (Cuerpo)"/>
    </font>
    <font>
      <b/>
      <sz val="11"/>
      <color theme="1"/>
      <name val="Calibri (Cuerpo)"/>
    </font>
    <font>
      <b/>
      <sz val="11"/>
      <color rgb="FF00B050"/>
      <name val="Calibri"/>
      <family val="2"/>
      <scheme val="minor"/>
    </font>
    <font>
      <b/>
      <sz val="9"/>
      <color theme="1"/>
      <name val="Calibri"/>
      <family val="2"/>
      <scheme val="minor"/>
    </font>
    <font>
      <sz val="9"/>
      <color theme="1"/>
      <name val="Calibri"/>
      <family val="2"/>
      <scheme val="minor"/>
    </font>
    <font>
      <sz val="12"/>
      <color theme="1"/>
      <name val="Calibri"/>
      <family val="2"/>
      <scheme val="minor"/>
    </font>
    <font>
      <b/>
      <sz val="8"/>
      <color theme="1"/>
      <name val="Calibri"/>
      <family val="2"/>
      <scheme val="minor"/>
    </font>
    <font>
      <b/>
      <sz val="12"/>
      <color theme="1"/>
      <name val="Calibri"/>
      <family val="2"/>
      <scheme val="minor"/>
    </font>
    <font>
      <sz val="8"/>
      <color theme="1"/>
      <name val="Calibri"/>
      <family val="2"/>
      <scheme val="minor"/>
    </font>
    <font>
      <b/>
      <i/>
      <sz val="12"/>
      <color theme="1"/>
      <name val="Calibri"/>
      <family val="2"/>
      <scheme val="minor"/>
    </font>
    <font>
      <b/>
      <i/>
      <sz val="11"/>
      <color theme="1"/>
      <name val="Calibri"/>
      <family val="2"/>
      <scheme val="minor"/>
    </font>
    <font>
      <b/>
      <i/>
      <sz val="11"/>
      <color rgb="FF7030A0"/>
      <name val="Calibri (Cuerpo)"/>
    </font>
    <font>
      <b/>
      <sz val="11"/>
      <color theme="1"/>
      <name val="Arial Black"/>
      <family val="2"/>
    </font>
    <font>
      <sz val="11"/>
      <color rgb="FF00B050"/>
      <name val="Arial Black"/>
      <family val="2"/>
    </font>
    <font>
      <sz val="11"/>
      <color rgb="FF00B050"/>
      <name val="Calibri"/>
      <family val="2"/>
      <scheme val="minor"/>
    </font>
    <font>
      <sz val="11"/>
      <color theme="1"/>
      <name val="Arial Black"/>
      <family val="2"/>
    </font>
    <font>
      <b/>
      <i/>
      <sz val="11"/>
      <color rgb="FF7030A0"/>
      <name val="Arial Black"/>
      <family val="2"/>
    </font>
    <font>
      <b/>
      <sz val="12"/>
      <color rgb="FF00B050"/>
      <name val="Arial Black"/>
      <family val="2"/>
    </font>
    <font>
      <b/>
      <sz val="12"/>
      <color rgb="FF00B050"/>
      <name val="Calibri"/>
      <family val="2"/>
      <scheme val="minor"/>
    </font>
    <font>
      <b/>
      <sz val="12"/>
      <color theme="1"/>
      <name val="Arial Black"/>
      <family val="2"/>
    </font>
    <font>
      <b/>
      <sz val="10"/>
      <color theme="1"/>
      <name val="Calibri"/>
      <family val="2"/>
      <scheme val="minor"/>
    </font>
    <font>
      <b/>
      <i/>
      <sz val="10"/>
      <color theme="1"/>
      <name val="Calibri"/>
      <family val="2"/>
      <scheme val="minor"/>
    </font>
    <font>
      <i/>
      <sz val="8"/>
      <name val="Arial Nova Cond"/>
      <family val="2"/>
    </font>
    <font>
      <sz val="12"/>
      <color theme="1"/>
      <name val="Arial Nova Cond"/>
      <family val="2"/>
    </font>
    <font>
      <b/>
      <sz val="12"/>
      <color theme="1"/>
      <name val="Arial Nova Cond"/>
      <family val="2"/>
    </font>
    <font>
      <b/>
      <sz val="14"/>
      <name val="Arial Nova Cond"/>
      <family val="2"/>
    </font>
    <font>
      <sz val="14"/>
      <name val="Arial Nova Cond"/>
      <family val="2"/>
    </font>
    <font>
      <sz val="14"/>
      <name val="Calibri"/>
      <family val="2"/>
      <charset val="1"/>
    </font>
    <font>
      <sz val="8"/>
      <name val="Arial Nova Cond"/>
      <family val="2"/>
    </font>
    <font>
      <i/>
      <sz val="9"/>
      <color rgb="FF595959"/>
      <name val="Calibri"/>
      <family val="2"/>
      <charset val="1"/>
    </font>
    <font>
      <b/>
      <sz val="10"/>
      <color theme="1"/>
      <name val="Calibri"/>
      <family val="2"/>
      <charset val="1"/>
    </font>
    <font>
      <b/>
      <sz val="9"/>
      <color theme="1"/>
      <name val="Calibri"/>
      <family val="2"/>
      <charset val="1"/>
    </font>
    <font>
      <b/>
      <sz val="11"/>
      <color rgb="FFFFFFFF"/>
      <name val="Calibri"/>
      <family val="2"/>
      <charset val="1"/>
    </font>
    <font>
      <b/>
      <sz val="12"/>
      <color rgb="FFFFFFFF"/>
      <name val="Calibri"/>
      <family val="2"/>
      <charset val="1"/>
    </font>
    <font>
      <i/>
      <sz val="9"/>
      <color rgb="FF595959"/>
      <name val="Calibri"/>
      <family val="2"/>
    </font>
    <font>
      <b/>
      <sz val="10"/>
      <color theme="1"/>
      <name val="Calibri"/>
      <family val="2"/>
    </font>
    <font>
      <b/>
      <sz val="12"/>
      <color rgb="FFFFFFFF"/>
      <name val="Calibri"/>
      <family val="2"/>
    </font>
    <font>
      <b/>
      <sz val="8"/>
      <color rgb="FF1E4620"/>
      <name val="Calibri"/>
      <family val="2"/>
      <scheme val="minor"/>
    </font>
    <font>
      <b/>
      <sz val="11"/>
      <color rgb="FF1E4620"/>
      <name val="Calibri"/>
      <family val="2"/>
      <scheme val="minor"/>
    </font>
    <font>
      <b/>
      <sz val="12"/>
      <color rgb="FF1E4620"/>
      <name val="Calibri"/>
      <family val="2"/>
      <scheme val="minor"/>
    </font>
    <font>
      <i/>
      <sz val="8"/>
      <color rgb="FF595959"/>
      <name val="Calibri"/>
      <family val="2"/>
    </font>
    <font>
      <b/>
      <sz val="8"/>
      <color theme="1"/>
      <name val="Calibri"/>
      <family val="2"/>
    </font>
    <font>
      <b/>
      <sz val="11"/>
      <color rgb="FFFFFFFF"/>
      <name val="Calibri"/>
      <family val="2"/>
    </font>
    <font>
      <b/>
      <sz val="9"/>
      <color theme="1"/>
      <name val="Calibri"/>
      <family val="2"/>
    </font>
    <font>
      <b/>
      <sz val="11"/>
      <color rgb="FF1E4620"/>
      <name val="Arial Nova Cond"/>
      <family val="2"/>
      <charset val="1"/>
    </font>
    <font>
      <i/>
      <sz val="7"/>
      <color rgb="FF595959"/>
      <name val="Calibri"/>
      <family val="2"/>
    </font>
    <font>
      <b/>
      <sz val="7"/>
      <color theme="1"/>
      <name val="Calibri"/>
      <family val="2"/>
    </font>
    <font>
      <b/>
      <sz val="9"/>
      <color rgb="FFFFFFFF"/>
      <name val="Calibri"/>
      <family val="2"/>
      <charset val="1"/>
    </font>
    <font>
      <b/>
      <sz val="10"/>
      <color rgb="FFFFFFFF"/>
      <name val="Calibri"/>
      <family val="2"/>
    </font>
    <font>
      <b/>
      <sz val="14"/>
      <color rgb="FFFFFFFF"/>
      <name val="Calibri"/>
      <family val="2"/>
      <scheme val="minor"/>
    </font>
    <font>
      <b/>
      <sz val="12"/>
      <color rgb="FFFFFFFF"/>
      <name val="Calibri"/>
      <family val="2"/>
      <scheme val="minor"/>
    </font>
    <font>
      <b/>
      <i/>
      <sz val="9"/>
      <color rgb="FF595959"/>
      <name val="Calibri"/>
      <family val="2"/>
    </font>
    <font>
      <b/>
      <sz val="14"/>
      <color theme="0"/>
      <name val="Arial Nova Cond"/>
      <family val="2"/>
    </font>
    <font>
      <sz val="14"/>
      <color theme="0"/>
      <name val="Arial Nova Cond"/>
      <family val="2"/>
    </font>
    <font>
      <sz val="10"/>
      <color theme="1"/>
      <name val="Bookman Old Style"/>
      <family val="1"/>
    </font>
    <font>
      <b/>
      <sz val="10"/>
      <color theme="0"/>
      <name val="Bookman Old Style"/>
      <family val="1"/>
    </font>
    <font>
      <i/>
      <sz val="11"/>
      <color theme="0"/>
      <name val="Calibri"/>
      <family val="1"/>
      <charset val="1"/>
    </font>
    <font>
      <sz val="11"/>
      <name val="Arial Nova Cond"/>
      <family val="2"/>
    </font>
  </fonts>
  <fills count="23">
    <fill>
      <patternFill patternType="none"/>
    </fill>
    <fill>
      <patternFill patternType="gray125"/>
    </fill>
    <fill>
      <patternFill patternType="solid">
        <fgColor theme="0"/>
        <bgColor rgb="FFF2F2F2"/>
      </patternFill>
    </fill>
    <fill>
      <patternFill patternType="solid">
        <fgColor theme="2"/>
        <bgColor indexed="64"/>
      </patternFill>
    </fill>
    <fill>
      <patternFill patternType="solid">
        <fgColor theme="0"/>
        <bgColor indexed="64"/>
      </patternFill>
    </fill>
    <fill>
      <patternFill patternType="solid">
        <fgColor rgb="FF002060"/>
        <bgColor indexed="64"/>
      </patternFill>
    </fill>
    <fill>
      <patternFill patternType="solid">
        <fgColor rgb="FFFFF2CC"/>
        <bgColor indexed="64"/>
      </patternFill>
    </fill>
    <fill>
      <patternFill patternType="solid">
        <fgColor rgb="FFFFFFFF"/>
        <bgColor indexed="64"/>
      </patternFill>
    </fill>
    <fill>
      <patternFill patternType="solid">
        <fgColor theme="9" tint="0.59999389629810485"/>
        <bgColor indexed="64"/>
      </patternFill>
    </fill>
    <fill>
      <patternFill patternType="solid">
        <fgColor rgb="FFF9F9F9"/>
        <bgColor indexed="64"/>
      </patternFill>
    </fill>
    <fill>
      <patternFill patternType="solid">
        <fgColor rgb="FFFCE8FE"/>
        <bgColor indexed="64"/>
      </patternFill>
    </fill>
    <fill>
      <patternFill patternType="solid">
        <fgColor rgb="FFFDD7F5"/>
        <bgColor indexed="64"/>
      </patternFill>
    </fill>
    <fill>
      <patternFill patternType="solid">
        <fgColor rgb="FFEAEAEA"/>
        <bgColor indexed="64"/>
      </patternFill>
    </fill>
    <fill>
      <patternFill patternType="solid">
        <fgColor rgb="FF92D050"/>
        <bgColor indexed="64"/>
      </patternFill>
    </fill>
    <fill>
      <patternFill patternType="solid">
        <fgColor theme="5" tint="-0.249977111117893"/>
        <bgColor rgb="FFF2F2F2"/>
      </patternFill>
    </fill>
    <fill>
      <patternFill patternType="solid">
        <fgColor rgb="FF00B050"/>
        <bgColor rgb="FFF2F2F2"/>
      </patternFill>
    </fill>
    <fill>
      <patternFill patternType="solid">
        <fgColor rgb="FFFFFF00"/>
        <bgColor rgb="FFF2F2F2"/>
      </patternFill>
    </fill>
    <fill>
      <patternFill patternType="solid">
        <fgColor rgb="FF003366"/>
        <bgColor rgb="FFE7E6E6"/>
      </patternFill>
    </fill>
    <fill>
      <patternFill patternType="solid">
        <fgColor rgb="FFE8F5E9"/>
        <bgColor indexed="64"/>
      </patternFill>
    </fill>
    <fill>
      <patternFill patternType="solid">
        <fgColor rgb="FF1E4620"/>
        <bgColor indexed="64"/>
      </patternFill>
    </fill>
    <fill>
      <patternFill patternType="solid">
        <fgColor rgb="FFD4EDDA"/>
        <bgColor indexed="64"/>
      </patternFill>
    </fill>
    <fill>
      <patternFill patternType="solid">
        <fgColor rgb="FFF4F9F4"/>
        <bgColor indexed="64"/>
      </patternFill>
    </fill>
    <fill>
      <patternFill patternType="solid">
        <fgColor rgb="FFFFC000"/>
        <bgColor rgb="FFF2F2F2"/>
      </patternFill>
    </fill>
  </fills>
  <borders count="84">
    <border>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thin">
        <color auto="1"/>
      </top>
      <bottom/>
      <diagonal/>
    </border>
    <border>
      <left/>
      <right style="medium">
        <color auto="1"/>
      </right>
      <top style="thin">
        <color auto="1"/>
      </top>
      <bottom style="thin">
        <color auto="1"/>
      </bottom>
      <diagonal/>
    </border>
    <border>
      <left/>
      <right/>
      <top style="medium">
        <color indexed="64"/>
      </top>
      <bottom style="medium">
        <color indexed="64"/>
      </bottom>
      <diagonal/>
    </border>
    <border>
      <left/>
      <right/>
      <top style="thick">
        <color auto="1"/>
      </top>
      <bottom/>
      <diagonal/>
    </border>
    <border>
      <left/>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style="thin">
        <color auto="1"/>
      </right>
      <top style="medium">
        <color indexed="64"/>
      </top>
      <bottom style="medium">
        <color indexed="64"/>
      </bottom>
      <diagonal/>
    </border>
    <border>
      <left style="thick">
        <color auto="1"/>
      </left>
      <right style="medium">
        <color auto="1"/>
      </right>
      <top style="medium">
        <color indexed="64"/>
      </top>
      <bottom style="medium">
        <color indexed="64"/>
      </bottom>
      <diagonal/>
    </border>
    <border>
      <left style="thin">
        <color auto="1"/>
      </left>
      <right style="medium">
        <color auto="1"/>
      </right>
      <top style="medium">
        <color indexed="64"/>
      </top>
      <bottom style="medium">
        <color indexed="64"/>
      </bottom>
      <diagonal/>
    </border>
    <border>
      <left/>
      <right/>
      <top style="thin">
        <color auto="1"/>
      </top>
      <bottom/>
      <diagonal/>
    </border>
    <border>
      <left/>
      <right/>
      <top style="medium">
        <color indexed="64"/>
      </top>
      <bottom style="thick">
        <color auto="1"/>
      </bottom>
      <diagonal/>
    </border>
    <border>
      <left style="thick">
        <color auto="1"/>
      </left>
      <right/>
      <top style="medium">
        <color indexed="64"/>
      </top>
      <bottom style="thick">
        <color auto="1"/>
      </bottom>
      <diagonal/>
    </border>
    <border>
      <left style="medium">
        <color auto="1"/>
      </left>
      <right style="thick">
        <color auto="1"/>
      </right>
      <top style="medium">
        <color auto="1"/>
      </top>
      <bottom style="medium">
        <color auto="1"/>
      </bottom>
      <diagonal/>
    </border>
    <border>
      <left/>
      <right style="thick">
        <color auto="1"/>
      </right>
      <top style="medium">
        <color indexed="64"/>
      </top>
      <bottom style="thick">
        <color auto="1"/>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bottom style="thin">
        <color rgb="FF1E4620"/>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right style="thin">
        <color rgb="FFD3D3D3"/>
      </right>
      <top/>
      <bottom style="thin">
        <color rgb="FFD3D3D3"/>
      </bottom>
      <diagonal/>
    </border>
    <border>
      <left/>
      <right style="thin">
        <color rgb="FFD3D3D3"/>
      </right>
      <top style="thin">
        <color rgb="FFD3D3D3"/>
      </top>
      <bottom style="thin">
        <color rgb="FFD3D3D3"/>
      </bottom>
      <diagonal/>
    </border>
    <border>
      <left/>
      <right style="thin">
        <color rgb="FFD3D3D3"/>
      </right>
      <top style="thin">
        <color rgb="FFD3D3D3"/>
      </top>
      <bottom/>
      <diagonal/>
    </border>
    <border>
      <left style="thin">
        <color rgb="FFD3D3D3"/>
      </left>
      <right style="thin">
        <color rgb="FFD3D3D3"/>
      </right>
      <top style="medium">
        <color auto="1"/>
      </top>
      <bottom style="thin">
        <color rgb="FFD3D3D3"/>
      </bottom>
      <diagonal/>
    </border>
    <border>
      <left style="thin">
        <color rgb="FFD3D3D3"/>
      </left>
      <right style="thick">
        <color auto="1"/>
      </right>
      <top style="medium">
        <color auto="1"/>
      </top>
      <bottom style="thin">
        <color rgb="FFD3D3D3"/>
      </bottom>
      <diagonal/>
    </border>
    <border>
      <left style="thin">
        <color rgb="FFD3D3D3"/>
      </left>
      <right style="thick">
        <color auto="1"/>
      </right>
      <top style="thin">
        <color rgb="FFD3D3D3"/>
      </top>
      <bottom style="thin">
        <color rgb="FFD3D3D3"/>
      </bottom>
      <diagonal/>
    </border>
    <border>
      <left style="thin">
        <color rgb="FFD3D3D3"/>
      </left>
      <right style="thick">
        <color auto="1"/>
      </right>
      <top style="thin">
        <color rgb="FFD3D3D3"/>
      </top>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top/>
      <bottom style="thin">
        <color rgb="FFD3D3D3"/>
      </bottom>
      <diagonal/>
    </border>
    <border>
      <left style="thin">
        <color rgb="FFD3D3D3"/>
      </left>
      <right/>
      <top style="medium">
        <color auto="1"/>
      </top>
      <bottom style="thin">
        <color rgb="FFD3D3D3"/>
      </bottom>
      <diagonal/>
    </border>
    <border>
      <left/>
      <right style="thin">
        <color rgb="FFD3D3D3"/>
      </right>
      <top style="medium">
        <color auto="1"/>
      </top>
      <bottom style="thin">
        <color rgb="FFD3D3D3"/>
      </bottom>
      <diagonal/>
    </border>
    <border>
      <left style="medium">
        <color indexed="64"/>
      </left>
      <right/>
      <top style="medium">
        <color indexed="64"/>
      </top>
      <bottom style="thin">
        <color rgb="FFD3D3D3"/>
      </bottom>
      <diagonal/>
    </border>
    <border>
      <left style="thin">
        <color rgb="FFD3D3D3"/>
      </left>
      <right style="medium">
        <color indexed="64"/>
      </right>
      <top style="medium">
        <color indexed="64"/>
      </top>
      <bottom style="thin">
        <color rgb="FFD3D3D3"/>
      </bottom>
      <diagonal/>
    </border>
    <border>
      <left style="medium">
        <color indexed="64"/>
      </left>
      <right/>
      <top style="thin">
        <color rgb="FFD3D3D3"/>
      </top>
      <bottom style="thin">
        <color rgb="FFD3D3D3"/>
      </bottom>
      <diagonal/>
    </border>
    <border>
      <left/>
      <right style="medium">
        <color indexed="64"/>
      </right>
      <top style="thin">
        <color rgb="FFD3D3D3"/>
      </top>
      <bottom/>
      <diagonal/>
    </border>
    <border>
      <left style="medium">
        <color indexed="64"/>
      </left>
      <right style="thin">
        <color rgb="FFD3D3D3"/>
      </right>
      <top style="thin">
        <color rgb="FFD3D3D3"/>
      </top>
      <bottom style="thin">
        <color rgb="FFD3D3D3"/>
      </bottom>
      <diagonal/>
    </border>
    <border>
      <left/>
      <right style="medium">
        <color indexed="64"/>
      </right>
      <top/>
      <bottom style="thin">
        <color rgb="FFD3D3D3"/>
      </bottom>
      <diagonal/>
    </border>
    <border>
      <left style="thin">
        <color rgb="FFD3D3D3"/>
      </left>
      <right style="medium">
        <color indexed="64"/>
      </right>
      <top style="thin">
        <color rgb="FFD3D3D3"/>
      </top>
      <bottom style="thin">
        <color rgb="FFD3D3D3"/>
      </bottom>
      <diagonal/>
    </border>
    <border>
      <left/>
      <right style="medium">
        <color indexed="64"/>
      </right>
      <top style="thin">
        <color rgb="FFD3D3D3"/>
      </top>
      <bottom style="thin">
        <color rgb="FFD3D3D3"/>
      </bottom>
      <diagonal/>
    </border>
    <border>
      <left style="medium">
        <color indexed="64"/>
      </left>
      <right style="thin">
        <color rgb="FFD3D3D3"/>
      </right>
      <top style="thin">
        <color rgb="FFD3D3D3"/>
      </top>
      <bottom/>
      <diagonal/>
    </border>
    <border>
      <left style="thin">
        <color rgb="FFD3D3D3"/>
      </left>
      <right style="medium">
        <color indexed="64"/>
      </right>
      <top style="thin">
        <color rgb="FFD3D3D3"/>
      </top>
      <bottom/>
      <diagonal/>
    </border>
  </borders>
  <cellStyleXfs count="3">
    <xf numFmtId="0" fontId="0" fillId="0" borderId="0"/>
    <xf numFmtId="164" fontId="1" fillId="0" borderId="0"/>
    <xf numFmtId="0" fontId="13" fillId="0" borderId="0" applyNumberFormat="0" applyFill="0" applyBorder="0" applyAlignment="0" applyProtection="0"/>
  </cellStyleXfs>
  <cellXfs count="536">
    <xf numFmtId="0" fontId="0" fillId="0" borderId="0" xfId="0"/>
    <xf numFmtId="0" fontId="0" fillId="2" borderId="0" xfId="0" applyFill="1"/>
    <xf numFmtId="0" fontId="3" fillId="0" borderId="0" xfId="0" applyFont="1"/>
    <xf numFmtId="0" fontId="3" fillId="2" borderId="0" xfId="0" applyFont="1" applyFill="1"/>
    <xf numFmtId="0" fontId="3" fillId="0" borderId="0" xfId="0" applyFont="1" applyAlignment="1">
      <alignment vertical="center"/>
    </xf>
    <xf numFmtId="0" fontId="3" fillId="2" borderId="0" xfId="0" applyFont="1" applyFill="1" applyAlignment="1">
      <alignment vertical="center"/>
    </xf>
    <xf numFmtId="0" fontId="3" fillId="0" borderId="6" xfId="0" applyFont="1" applyBorder="1" applyAlignment="1">
      <alignment vertical="center"/>
    </xf>
    <xf numFmtId="0" fontId="3" fillId="2" borderId="6" xfId="0" applyFont="1" applyFill="1" applyBorder="1" applyAlignment="1">
      <alignment vertical="center"/>
    </xf>
    <xf numFmtId="0" fontId="3" fillId="2" borderId="13" xfId="0" applyFont="1" applyFill="1" applyBorder="1" applyAlignment="1">
      <alignment vertical="center"/>
    </xf>
    <xf numFmtId="0" fontId="3" fillId="0" borderId="0" xfId="0" applyFont="1" applyAlignment="1">
      <alignment vertical="center" wrapText="1"/>
    </xf>
    <xf numFmtId="0" fontId="12" fillId="2" borderId="0" xfId="0" applyFont="1" applyFill="1" applyAlignment="1">
      <alignment vertical="center"/>
    </xf>
    <xf numFmtId="0" fontId="11" fillId="2" borderId="0" xfId="0" applyFont="1" applyFill="1" applyAlignment="1">
      <alignment vertical="center" wrapText="1"/>
    </xf>
    <xf numFmtId="165" fontId="10" fillId="0" borderId="15" xfId="0" applyNumberFormat="1" applyFont="1" applyBorder="1" applyAlignment="1">
      <alignment horizontal="center" vertical="center"/>
    </xf>
    <xf numFmtId="0" fontId="9" fillId="0" borderId="16" xfId="0" applyFont="1" applyBorder="1" applyAlignment="1">
      <alignment vertical="center"/>
    </xf>
    <xf numFmtId="0" fontId="10" fillId="0" borderId="16" xfId="0" applyFont="1" applyBorder="1" applyAlignment="1">
      <alignment horizontal="center" vertical="center"/>
    </xf>
    <xf numFmtId="0" fontId="3" fillId="0" borderId="16" xfId="0" applyFont="1" applyBorder="1" applyAlignment="1">
      <alignment vertical="center"/>
    </xf>
    <xf numFmtId="165" fontId="10" fillId="0" borderId="13" xfId="0" applyNumberFormat="1" applyFont="1" applyBorder="1" applyAlignment="1">
      <alignment horizontal="center" vertical="center"/>
    </xf>
    <xf numFmtId="0" fontId="9" fillId="0" borderId="6" xfId="0" applyFont="1" applyBorder="1" applyAlignment="1">
      <alignment vertical="center" wrapText="1"/>
    </xf>
    <xf numFmtId="0" fontId="9" fillId="0" borderId="6" xfId="0" applyFont="1" applyBorder="1" applyAlignment="1">
      <alignment vertical="center"/>
    </xf>
    <xf numFmtId="0" fontId="9" fillId="0" borderId="13" xfId="0" applyFont="1" applyBorder="1" applyAlignment="1">
      <alignment horizontal="center" vertical="center" wrapText="1"/>
    </xf>
    <xf numFmtId="0" fontId="10" fillId="0" borderId="6" xfId="0" applyFont="1" applyBorder="1" applyAlignment="1">
      <alignment vertical="center"/>
    </xf>
    <xf numFmtId="166" fontId="3" fillId="0" borderId="6" xfId="0" applyNumberFormat="1" applyFont="1" applyBorder="1" applyAlignment="1">
      <alignment vertical="center" wrapText="1"/>
    </xf>
    <xf numFmtId="0" fontId="3" fillId="0" borderId="13" xfId="0" applyFont="1" applyBorder="1" applyAlignment="1">
      <alignment vertical="center"/>
    </xf>
    <xf numFmtId="0" fontId="3" fillId="2" borderId="0" xfId="0" applyFont="1" applyFill="1" applyAlignment="1">
      <alignment vertical="center" wrapText="1"/>
    </xf>
    <xf numFmtId="0" fontId="2" fillId="2" borderId="0" xfId="0" applyFont="1" applyFill="1" applyAlignment="1">
      <alignment horizontal="center" vertical="center" wrapText="1"/>
    </xf>
    <xf numFmtId="0" fontId="14" fillId="0" borderId="0" xfId="0" applyFont="1" applyAlignment="1">
      <alignment horizontal="center" vertical="center"/>
    </xf>
    <xf numFmtId="0" fontId="14" fillId="0" borderId="0" xfId="0" applyFont="1" applyAlignment="1">
      <alignment vertical="center"/>
    </xf>
    <xf numFmtId="0" fontId="3" fillId="2" borderId="0" xfId="0" applyFont="1" applyFill="1" applyAlignment="1">
      <alignment horizontal="left" vertical="top" wrapText="1"/>
    </xf>
    <xf numFmtId="0" fontId="3" fillId="0" borderId="25" xfId="0" applyFont="1" applyBorder="1"/>
    <xf numFmtId="0" fontId="23" fillId="2" borderId="25" xfId="0" applyFont="1" applyFill="1" applyBorder="1"/>
    <xf numFmtId="0" fontId="3" fillId="2" borderId="25" xfId="0" applyFont="1" applyFill="1" applyBorder="1" applyAlignment="1">
      <alignment horizontal="left" vertical="top" wrapText="1"/>
    </xf>
    <xf numFmtId="0" fontId="3" fillId="0" borderId="28" xfId="0" applyFont="1" applyBorder="1"/>
    <xf numFmtId="0" fontId="3" fillId="2" borderId="28" xfId="0" applyFont="1" applyFill="1" applyBorder="1"/>
    <xf numFmtId="0" fontId="3" fillId="2" borderId="28" xfId="0" applyFont="1" applyFill="1" applyBorder="1" applyAlignment="1">
      <alignment horizontal="left" vertical="top" wrapText="1"/>
    </xf>
    <xf numFmtId="0" fontId="24" fillId="0" borderId="42" xfId="0" applyFont="1" applyBorder="1"/>
    <xf numFmtId="0" fontId="24" fillId="0" borderId="36" xfId="0" applyFont="1" applyBorder="1"/>
    <xf numFmtId="0" fontId="30" fillId="8" borderId="30" xfId="0" applyFont="1" applyFill="1" applyBorder="1" applyAlignment="1">
      <alignment horizontal="center" vertical="center"/>
    </xf>
    <xf numFmtId="0" fontId="24" fillId="0" borderId="30" xfId="0" applyFont="1" applyBorder="1" applyAlignment="1">
      <alignment horizontal="center" vertical="center"/>
    </xf>
    <xf numFmtId="0" fontId="24" fillId="0" borderId="30" xfId="0" applyFont="1" applyBorder="1" applyAlignment="1">
      <alignment horizontal="center"/>
    </xf>
    <xf numFmtId="0" fontId="32" fillId="0" borderId="0" xfId="0" applyFont="1"/>
    <xf numFmtId="0" fontId="32" fillId="0" borderId="0" xfId="0" applyFont="1" applyAlignment="1">
      <alignment horizontal="center" vertical="center" wrapText="1"/>
    </xf>
    <xf numFmtId="0" fontId="0" fillId="0" borderId="0" xfId="0" applyAlignment="1">
      <alignment horizontal="center" vertical="center" wrapText="1"/>
    </xf>
    <xf numFmtId="0" fontId="33" fillId="0" borderId="0" xfId="0" applyFont="1"/>
    <xf numFmtId="0" fontId="0" fillId="0" borderId="0" xfId="0" applyAlignment="1">
      <alignment vertical="center"/>
    </xf>
    <xf numFmtId="0" fontId="0" fillId="0" borderId="0" xfId="0" applyAlignment="1">
      <alignment horizontal="left" vertical="center"/>
    </xf>
    <xf numFmtId="0" fontId="36" fillId="0" borderId="0" xfId="0" applyFont="1" applyAlignment="1">
      <alignment horizontal="center" vertical="center"/>
    </xf>
    <xf numFmtId="0" fontId="0" fillId="0" borderId="6" xfId="0" applyBorder="1"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38" fillId="0" borderId="42" xfId="0" applyFont="1" applyBorder="1"/>
    <xf numFmtId="0" fontId="0" fillId="0" borderId="11" xfId="0" applyBorder="1" applyAlignment="1">
      <alignment vertical="center"/>
    </xf>
    <xf numFmtId="0" fontId="0" fillId="0" borderId="0" xfId="0" applyAlignment="1">
      <alignment horizontal="center" vertical="center"/>
    </xf>
    <xf numFmtId="0" fontId="0" fillId="11" borderId="8" xfId="0" applyFill="1" applyBorder="1" applyAlignment="1">
      <alignment vertical="center" wrapText="1"/>
    </xf>
    <xf numFmtId="0" fontId="0" fillId="11" borderId="6" xfId="0" applyFill="1" applyBorder="1" applyAlignment="1">
      <alignment vertical="center" wrapText="1"/>
    </xf>
    <xf numFmtId="0" fontId="0" fillId="11" borderId="7" xfId="0" applyFill="1" applyBorder="1" applyAlignment="1">
      <alignment vertical="center" wrapText="1"/>
    </xf>
    <xf numFmtId="0" fontId="33" fillId="0" borderId="8" xfId="0" applyFont="1" applyBorder="1" applyAlignment="1">
      <alignment wrapText="1"/>
    </xf>
    <xf numFmtId="0" fontId="33" fillId="0" borderId="6" xfId="0" applyFont="1" applyBorder="1" applyAlignment="1">
      <alignment wrapText="1"/>
    </xf>
    <xf numFmtId="0" fontId="0" fillId="11" borderId="9" xfId="0" applyFill="1" applyBorder="1" applyAlignment="1">
      <alignment vertical="center" wrapText="1"/>
    </xf>
    <xf numFmtId="0" fontId="0" fillId="11" borderId="10" xfId="0" applyFill="1" applyBorder="1" applyAlignment="1">
      <alignment vertical="center" wrapText="1"/>
    </xf>
    <xf numFmtId="0" fontId="0" fillId="11" borderId="11" xfId="0" applyFill="1" applyBorder="1" applyAlignment="1">
      <alignment vertical="center" wrapText="1"/>
    </xf>
    <xf numFmtId="0" fontId="0" fillId="0" borderId="4" xfId="0" applyBorder="1"/>
    <xf numFmtId="0" fontId="0" fillId="0" borderId="5" xfId="0" applyBorder="1"/>
    <xf numFmtId="0" fontId="33" fillId="0" borderId="0" xfId="0" applyFont="1" applyAlignment="1">
      <alignment horizontal="center" vertical="center"/>
    </xf>
    <xf numFmtId="0" fontId="51" fillId="0" borderId="0" xfId="0" applyFont="1"/>
    <xf numFmtId="0" fontId="51" fillId="2" borderId="0" xfId="0" applyFont="1" applyFill="1"/>
    <xf numFmtId="0" fontId="52" fillId="0" borderId="0" xfId="0" applyFont="1"/>
    <xf numFmtId="0" fontId="53" fillId="2" borderId="50" xfId="0" applyFont="1" applyFill="1" applyBorder="1" applyAlignment="1">
      <alignment horizontal="left"/>
    </xf>
    <xf numFmtId="0" fontId="53" fillId="2" borderId="50" xfId="0" applyFont="1" applyFill="1" applyBorder="1" applyAlignment="1">
      <alignment horizontal="left" vertical="center" wrapText="1"/>
    </xf>
    <xf numFmtId="0" fontId="53" fillId="2" borderId="50" xfId="0" applyFont="1" applyFill="1" applyBorder="1" applyAlignment="1">
      <alignment horizontal="left" vertical="center"/>
    </xf>
    <xf numFmtId="0" fontId="53" fillId="16" borderId="43" xfId="0" applyFont="1" applyFill="1" applyBorder="1" applyAlignment="1">
      <alignment horizontal="left"/>
    </xf>
    <xf numFmtId="0" fontId="53" fillId="15" borderId="43" xfId="0" applyFont="1" applyFill="1" applyBorder="1" applyAlignment="1">
      <alignment horizontal="left"/>
    </xf>
    <xf numFmtId="0" fontId="24" fillId="0" borderId="0" xfId="0" applyFont="1"/>
    <xf numFmtId="0" fontId="31" fillId="18" borderId="57" xfId="0" applyFont="1" applyFill="1" applyBorder="1" applyAlignment="1">
      <alignment horizontal="center" vertical="center" wrapText="1"/>
    </xf>
    <xf numFmtId="0" fontId="33" fillId="7" borderId="57" xfId="0" applyFont="1" applyFill="1" applyBorder="1"/>
    <xf numFmtId="0" fontId="0" fillId="7" borderId="57" xfId="0" applyFill="1" applyBorder="1"/>
    <xf numFmtId="0" fontId="33" fillId="21" borderId="57" xfId="0" applyFont="1" applyFill="1" applyBorder="1"/>
    <xf numFmtId="0" fontId="0" fillId="21" borderId="57" xfId="0" applyFill="1" applyBorder="1"/>
    <xf numFmtId="170" fontId="33" fillId="7" borderId="57" xfId="0" applyNumberFormat="1" applyFont="1" applyFill="1" applyBorder="1"/>
    <xf numFmtId="170" fontId="33" fillId="21" borderId="57" xfId="0" applyNumberFormat="1" applyFont="1" applyFill="1" applyBorder="1"/>
    <xf numFmtId="171" fontId="33" fillId="7" borderId="57" xfId="0" applyNumberFormat="1" applyFont="1" applyFill="1" applyBorder="1"/>
    <xf numFmtId="171" fontId="33" fillId="21" borderId="57" xfId="0" applyNumberFormat="1" applyFont="1" applyFill="1" applyBorder="1"/>
    <xf numFmtId="0" fontId="24" fillId="7" borderId="57" xfId="0" applyFont="1" applyFill="1" applyBorder="1"/>
    <xf numFmtId="0" fontId="24" fillId="18" borderId="57" xfId="0" applyFont="1" applyFill="1" applyBorder="1" applyAlignment="1">
      <alignment vertical="center" wrapText="1"/>
    </xf>
    <xf numFmtId="0" fontId="42" fillId="7" borderId="57" xfId="0" applyFont="1" applyFill="1" applyBorder="1" applyAlignment="1">
      <alignment vertical="center"/>
    </xf>
    <xf numFmtId="0" fontId="34" fillId="18" borderId="57" xfId="0" applyFont="1" applyFill="1" applyBorder="1"/>
    <xf numFmtId="0" fontId="34" fillId="18" borderId="57" xfId="0" applyFont="1" applyFill="1" applyBorder="1" applyAlignment="1">
      <alignment vertical="center" wrapText="1"/>
    </xf>
    <xf numFmtId="0" fontId="36" fillId="7" borderId="57" xfId="0" applyFont="1" applyFill="1" applyBorder="1" applyAlignment="1">
      <alignment horizontal="left" vertical="center" wrapText="1"/>
    </xf>
    <xf numFmtId="0" fontId="34" fillId="7" borderId="57" xfId="0" applyFont="1" applyFill="1" applyBorder="1" applyAlignment="1">
      <alignment horizontal="left" vertical="center" wrapText="1"/>
    </xf>
    <xf numFmtId="0" fontId="34" fillId="7" borderId="57" xfId="0" applyFont="1" applyFill="1" applyBorder="1" applyAlignment="1">
      <alignment vertical="center" wrapText="1"/>
    </xf>
    <xf numFmtId="0" fontId="34" fillId="7" borderId="57" xfId="0" applyFont="1" applyFill="1" applyBorder="1"/>
    <xf numFmtId="0" fontId="36" fillId="7" borderId="57" xfId="0" applyFont="1" applyFill="1" applyBorder="1" applyAlignment="1">
      <alignment horizontal="left" vertical="top" wrapText="1"/>
    </xf>
    <xf numFmtId="0" fontId="8" fillId="18" borderId="0" xfId="0" applyFont="1" applyFill="1" applyAlignment="1">
      <alignment horizontal="center"/>
    </xf>
    <xf numFmtId="0" fontId="0" fillId="0" borderId="57" xfId="0" applyBorder="1"/>
    <xf numFmtId="0" fontId="24" fillId="0" borderId="57" xfId="0" applyFont="1" applyBorder="1"/>
    <xf numFmtId="0" fontId="24" fillId="0" borderId="57" xfId="0" applyFont="1" applyBorder="1" applyAlignment="1">
      <alignment horizontal="center" vertical="center" wrapText="1"/>
    </xf>
    <xf numFmtId="0" fontId="45" fillId="20" borderId="57" xfId="0" applyFont="1" applyFill="1" applyBorder="1" applyAlignment="1">
      <alignment horizontal="center" vertical="center"/>
    </xf>
    <xf numFmtId="0" fontId="46" fillId="20" borderId="57" xfId="0" applyFont="1" applyFill="1" applyBorder="1" applyAlignment="1">
      <alignment horizontal="center" vertical="center"/>
    </xf>
    <xf numFmtId="0" fontId="0" fillId="0" borderId="57" xfId="0" applyBorder="1" applyAlignment="1">
      <alignment vertical="center"/>
    </xf>
    <xf numFmtId="0" fontId="0" fillId="0" borderId="57" xfId="0" applyBorder="1" applyAlignment="1">
      <alignment horizontal="center" vertical="center" wrapText="1"/>
    </xf>
    <xf numFmtId="0" fontId="0" fillId="18" borderId="57" xfId="0" applyFill="1" applyBorder="1" applyAlignment="1">
      <alignment horizontal="center" vertical="center" wrapText="1"/>
    </xf>
    <xf numFmtId="0" fontId="32" fillId="11" borderId="57" xfId="0" applyFont="1" applyFill="1" applyBorder="1" applyAlignment="1">
      <alignment horizontal="center" vertical="center" wrapText="1"/>
    </xf>
    <xf numFmtId="0" fontId="0" fillId="0" borderId="57" xfId="0" applyBorder="1" applyAlignment="1">
      <alignment horizontal="left" vertical="center"/>
    </xf>
    <xf numFmtId="0" fontId="32" fillId="9" borderId="57" xfId="0" applyFont="1" applyFill="1" applyBorder="1" applyAlignment="1">
      <alignment horizontal="center" vertical="center" wrapText="1"/>
    </xf>
    <xf numFmtId="0" fontId="0" fillId="0" borderId="30" xfId="0" applyBorder="1"/>
    <xf numFmtId="0" fontId="47" fillId="0" borderId="30" xfId="0" applyFont="1" applyBorder="1" applyAlignment="1">
      <alignment vertical="center"/>
    </xf>
    <xf numFmtId="0" fontId="48" fillId="0" borderId="30" xfId="0" applyFont="1" applyBorder="1"/>
    <xf numFmtId="0" fontId="48" fillId="0" borderId="49" xfId="0" applyFont="1" applyBorder="1"/>
    <xf numFmtId="0" fontId="65" fillId="18" borderId="57" xfId="0" applyFont="1" applyFill="1" applyBorder="1" applyAlignment="1">
      <alignment horizontal="center" vertical="center" wrapText="1"/>
    </xf>
    <xf numFmtId="173" fontId="0" fillId="7" borderId="57" xfId="0" applyNumberFormat="1" applyFill="1" applyBorder="1" applyAlignment="1">
      <alignment vertical="center" wrapText="1"/>
    </xf>
    <xf numFmtId="20" fontId="0" fillId="7" borderId="57" xfId="0" applyNumberFormat="1" applyFill="1" applyBorder="1" applyAlignment="1">
      <alignment vertical="center" wrapText="1"/>
    </xf>
    <xf numFmtId="0" fontId="0" fillId="7" borderId="57" xfId="0" applyFill="1" applyBorder="1" applyAlignment="1">
      <alignment vertical="center" wrapText="1"/>
    </xf>
    <xf numFmtId="170" fontId="0" fillId="7" borderId="57" xfId="0" applyNumberFormat="1" applyFill="1" applyBorder="1" applyAlignment="1">
      <alignment vertical="center" wrapText="1"/>
    </xf>
    <xf numFmtId="170" fontId="0" fillId="7" borderId="57" xfId="0" applyNumberFormat="1" applyFill="1" applyBorder="1" applyAlignment="1">
      <alignment wrapText="1"/>
    </xf>
    <xf numFmtId="172" fontId="0" fillId="7" borderId="57" xfId="0" applyNumberFormat="1" applyFill="1" applyBorder="1" applyAlignment="1">
      <alignment wrapText="1"/>
    </xf>
    <xf numFmtId="0" fontId="0" fillId="7" borderId="57" xfId="0" applyFill="1" applyBorder="1" applyAlignment="1">
      <alignment wrapText="1"/>
    </xf>
    <xf numFmtId="9" fontId="0" fillId="7" borderId="57" xfId="0" applyNumberFormat="1" applyFill="1" applyBorder="1" applyAlignment="1">
      <alignment wrapText="1"/>
    </xf>
    <xf numFmtId="0" fontId="0" fillId="7" borderId="57" xfId="0" applyFill="1" applyBorder="1" applyAlignment="1">
      <alignment horizontal="center" vertical="center" wrapText="1"/>
    </xf>
    <xf numFmtId="173" fontId="0" fillId="21" borderId="57" xfId="0" applyNumberFormat="1" applyFill="1" applyBorder="1" applyAlignment="1">
      <alignment vertical="center" wrapText="1"/>
    </xf>
    <xf numFmtId="20" fontId="0" fillId="21" borderId="57" xfId="0" applyNumberFormat="1" applyFill="1" applyBorder="1" applyAlignment="1">
      <alignment vertical="center" wrapText="1"/>
    </xf>
    <xf numFmtId="0" fontId="0" fillId="21" borderId="57" xfId="0" applyFill="1" applyBorder="1" applyAlignment="1">
      <alignment vertical="center" wrapText="1"/>
    </xf>
    <xf numFmtId="170" fontId="0" fillId="21" borderId="57" xfId="0" applyNumberFormat="1" applyFill="1" applyBorder="1" applyAlignment="1">
      <alignment vertical="center" wrapText="1"/>
    </xf>
    <xf numFmtId="172" fontId="0" fillId="21" borderId="57" xfId="0" applyNumberFormat="1" applyFill="1" applyBorder="1" applyAlignment="1">
      <alignment wrapText="1"/>
    </xf>
    <xf numFmtId="173" fontId="33" fillId="21" borderId="57" xfId="0" applyNumberFormat="1" applyFont="1" applyFill="1" applyBorder="1" applyAlignment="1">
      <alignment wrapText="1"/>
    </xf>
    <xf numFmtId="20" fontId="33" fillId="21" borderId="57" xfId="0" applyNumberFormat="1" applyFont="1" applyFill="1" applyBorder="1" applyAlignment="1">
      <alignment wrapText="1"/>
    </xf>
    <xf numFmtId="0" fontId="33" fillId="21" borderId="57" xfId="0" applyFont="1" applyFill="1" applyBorder="1" applyAlignment="1">
      <alignment wrapText="1"/>
    </xf>
    <xf numFmtId="170" fontId="0" fillId="21" borderId="57" xfId="0" applyNumberFormat="1" applyFill="1" applyBorder="1" applyAlignment="1">
      <alignment wrapText="1"/>
    </xf>
    <xf numFmtId="0" fontId="0" fillId="21" borderId="57" xfId="0" applyFill="1" applyBorder="1" applyAlignment="1">
      <alignment wrapText="1"/>
    </xf>
    <xf numFmtId="0" fontId="0" fillId="21" borderId="57" xfId="0" applyFill="1" applyBorder="1" applyAlignment="1">
      <alignment horizontal="center" vertical="center" wrapText="1"/>
    </xf>
    <xf numFmtId="0" fontId="33" fillId="7" borderId="57" xfId="0" applyFont="1" applyFill="1" applyBorder="1" applyAlignment="1">
      <alignment horizontal="left" vertical="center" wrapText="1"/>
    </xf>
    <xf numFmtId="170" fontId="0" fillId="7" borderId="57" xfId="0" applyNumberFormat="1" applyFill="1" applyBorder="1" applyAlignment="1">
      <alignment horizontal="left" vertical="center" wrapText="1"/>
    </xf>
    <xf numFmtId="0" fontId="0" fillId="0" borderId="47" xfId="0" applyBorder="1" applyAlignment="1">
      <alignment vertical="center" wrapText="1"/>
    </xf>
    <xf numFmtId="0" fontId="0" fillId="0" borderId="16" xfId="0" applyBorder="1" applyAlignment="1">
      <alignment vertical="center" wrapText="1"/>
    </xf>
    <xf numFmtId="0" fontId="0" fillId="0" borderId="48" xfId="0" applyBorder="1" applyAlignment="1">
      <alignment vertical="center" wrapText="1"/>
    </xf>
    <xf numFmtId="0" fontId="66" fillId="18" borderId="57" xfId="0" applyFont="1" applyFill="1" applyBorder="1" applyAlignment="1">
      <alignment horizontal="center" vertical="center" wrapText="1"/>
    </xf>
    <xf numFmtId="173" fontId="0" fillId="21" borderId="57" xfId="0" applyNumberFormat="1" applyFill="1" applyBorder="1"/>
    <xf numFmtId="173" fontId="0" fillId="7" borderId="57" xfId="0" applyNumberFormat="1" applyFill="1" applyBorder="1"/>
    <xf numFmtId="0" fontId="33" fillId="21" borderId="57" xfId="0" applyFont="1" applyFill="1" applyBorder="1" applyAlignment="1">
      <alignment horizontal="center" vertical="center" wrapText="1"/>
    </xf>
    <xf numFmtId="173" fontId="0" fillId="21" borderId="57" xfId="0" applyNumberFormat="1" applyFill="1" applyBorder="1" applyAlignment="1">
      <alignment horizontal="center" vertical="center" wrapText="1"/>
    </xf>
    <xf numFmtId="0" fontId="0" fillId="0" borderId="50" xfId="0" applyBorder="1"/>
    <xf numFmtId="0" fontId="0" fillId="10" borderId="47" xfId="0" applyFill="1" applyBorder="1" applyAlignment="1">
      <alignment vertical="center" wrapText="1"/>
    </xf>
    <xf numFmtId="0" fontId="0" fillId="10" borderId="16" xfId="0" applyFill="1" applyBorder="1" applyAlignment="1">
      <alignment vertical="center" wrapText="1"/>
    </xf>
    <xf numFmtId="0" fontId="0" fillId="10" borderId="48" xfId="0" applyFill="1" applyBorder="1" applyAlignment="1">
      <alignment vertical="center" wrapText="1"/>
    </xf>
    <xf numFmtId="0" fontId="67" fillId="18" borderId="57" xfId="0" applyFont="1" applyFill="1" applyBorder="1" applyAlignment="1">
      <alignment horizontal="center" vertical="center" wrapText="1"/>
    </xf>
    <xf numFmtId="0" fontId="33" fillId="7" borderId="57" xfId="0" applyFont="1" applyFill="1" applyBorder="1" applyAlignment="1">
      <alignment horizontal="center" vertical="center" wrapText="1"/>
    </xf>
    <xf numFmtId="173" fontId="0" fillId="7" borderId="57" xfId="0" applyNumberFormat="1" applyFill="1" applyBorder="1" applyAlignment="1">
      <alignment horizontal="center" vertical="center" wrapText="1"/>
    </xf>
    <xf numFmtId="0" fontId="33" fillId="7" borderId="57" xfId="0" applyFont="1" applyFill="1" applyBorder="1" applyAlignment="1">
      <alignment wrapText="1"/>
    </xf>
    <xf numFmtId="0" fontId="69" fillId="18" borderId="0" xfId="0" applyFont="1" applyFill="1" applyAlignment="1">
      <alignment horizontal="center" vertical="center" wrapText="1"/>
    </xf>
    <xf numFmtId="0" fontId="71" fillId="20" borderId="0" xfId="0" applyFont="1" applyFill="1" applyAlignment="1">
      <alignment vertical="center"/>
    </xf>
    <xf numFmtId="0" fontId="5" fillId="2" borderId="57" xfId="0" applyFont="1" applyFill="1" applyBorder="1" applyAlignment="1">
      <alignment vertical="center"/>
    </xf>
    <xf numFmtId="0" fontId="72" fillId="18" borderId="57" xfId="0" applyFont="1" applyFill="1" applyBorder="1" applyAlignment="1">
      <alignment horizontal="center" vertical="center" wrapText="1"/>
    </xf>
    <xf numFmtId="0" fontId="5" fillId="7" borderId="57" xfId="0" applyFont="1" applyFill="1" applyBorder="1" applyAlignment="1">
      <alignment vertical="center"/>
    </xf>
    <xf numFmtId="0" fontId="7" fillId="7" borderId="57" xfId="0" applyFont="1" applyFill="1" applyBorder="1" applyAlignment="1">
      <alignment horizontal="center" vertical="center" wrapText="1"/>
    </xf>
    <xf numFmtId="0" fontId="3" fillId="7" borderId="57" xfId="0" applyFont="1" applyFill="1" applyBorder="1" applyAlignment="1">
      <alignment horizontal="center" vertical="center" wrapText="1"/>
    </xf>
    <xf numFmtId="0" fontId="6" fillId="21" borderId="57" xfId="0" applyFont="1" applyFill="1" applyBorder="1" applyAlignment="1">
      <alignment vertical="center"/>
    </xf>
    <xf numFmtId="0" fontId="7" fillId="21" borderId="57" xfId="0" applyFont="1" applyFill="1" applyBorder="1" applyAlignment="1">
      <alignment horizontal="center" vertical="center" wrapText="1"/>
    </xf>
    <xf numFmtId="0" fontId="3" fillId="21" borderId="57" xfId="0" applyFont="1" applyFill="1" applyBorder="1" applyAlignment="1">
      <alignment horizontal="center" vertical="center" wrapText="1"/>
    </xf>
    <xf numFmtId="0" fontId="6" fillId="7" borderId="57" xfId="0" applyFont="1" applyFill="1" applyBorder="1" applyAlignment="1">
      <alignment vertical="top"/>
    </xf>
    <xf numFmtId="0" fontId="6" fillId="21" borderId="57" xfId="0" applyFont="1" applyFill="1" applyBorder="1" applyAlignment="1">
      <alignment vertical="top"/>
    </xf>
    <xf numFmtId="0" fontId="11" fillId="7" borderId="57" xfId="0" applyFont="1" applyFill="1" applyBorder="1" applyAlignment="1">
      <alignment horizontal="center" vertical="center" wrapText="1"/>
    </xf>
    <xf numFmtId="0" fontId="11" fillId="21" borderId="57" xfId="0" applyFont="1" applyFill="1" applyBorder="1" applyAlignment="1">
      <alignment vertical="center" wrapText="1"/>
    </xf>
    <xf numFmtId="0" fontId="11" fillId="7" borderId="57" xfId="0" applyFont="1" applyFill="1" applyBorder="1" applyAlignment="1">
      <alignment vertical="center" wrapText="1"/>
    </xf>
    <xf numFmtId="0" fontId="74" fillId="18" borderId="0" xfId="0" applyFont="1" applyFill="1" applyAlignment="1">
      <alignment horizontal="center" vertical="center" wrapText="1"/>
    </xf>
    <xf numFmtId="0" fontId="35" fillId="0" borderId="57" xfId="0" applyFont="1" applyBorder="1" applyAlignment="1">
      <alignment vertical="center" wrapText="1"/>
    </xf>
    <xf numFmtId="0" fontId="35" fillId="0" borderId="57" xfId="0" applyFont="1" applyBorder="1" applyAlignment="1">
      <alignment horizontal="center" vertical="center" wrapText="1"/>
    </xf>
    <xf numFmtId="0" fontId="33" fillId="7" borderId="57" xfId="0" applyFont="1" applyFill="1" applyBorder="1" applyAlignment="1">
      <alignment vertical="center" wrapText="1"/>
    </xf>
    <xf numFmtId="170" fontId="33" fillId="7" borderId="57" xfId="0" applyNumberFormat="1" applyFont="1" applyFill="1" applyBorder="1" applyAlignment="1">
      <alignment horizontal="center" vertical="center" wrapText="1"/>
    </xf>
    <xf numFmtId="0" fontId="33" fillId="21" borderId="57" xfId="0" applyFont="1" applyFill="1" applyBorder="1" applyAlignment="1">
      <alignment vertical="center" wrapText="1"/>
    </xf>
    <xf numFmtId="170" fontId="33" fillId="21" borderId="57" xfId="0" applyNumberFormat="1" applyFont="1" applyFill="1" applyBorder="1" applyAlignment="1">
      <alignment horizontal="center" vertical="center" wrapText="1"/>
    </xf>
    <xf numFmtId="170" fontId="24" fillId="20" borderId="57" xfId="0" applyNumberFormat="1" applyFont="1" applyFill="1" applyBorder="1" applyAlignment="1">
      <alignment horizontal="center" vertical="center" wrapText="1"/>
    </xf>
    <xf numFmtId="3" fontId="24" fillId="20" borderId="57" xfId="0" applyNumberFormat="1" applyFont="1" applyFill="1" applyBorder="1" applyAlignment="1">
      <alignment horizontal="center" vertical="center" wrapText="1"/>
    </xf>
    <xf numFmtId="0" fontId="35" fillId="18" borderId="57" xfId="0" applyFont="1" applyFill="1" applyBorder="1" applyAlignment="1">
      <alignment vertical="center" wrapText="1"/>
    </xf>
    <xf numFmtId="0" fontId="35" fillId="18" borderId="57" xfId="0" applyFont="1" applyFill="1" applyBorder="1" applyAlignment="1">
      <alignment horizontal="center" vertical="center" wrapText="1"/>
    </xf>
    <xf numFmtId="171" fontId="33" fillId="0" borderId="57" xfId="0" applyNumberFormat="1" applyFont="1" applyBorder="1" applyAlignment="1">
      <alignment vertical="center" wrapText="1"/>
    </xf>
    <xf numFmtId="170" fontId="35" fillId="0" borderId="57" xfId="0" applyNumberFormat="1" applyFont="1" applyBorder="1" applyAlignment="1">
      <alignment horizontal="center" vertical="center" wrapText="1"/>
    </xf>
    <xf numFmtId="171" fontId="33" fillId="0" borderId="57" xfId="0" applyNumberFormat="1" applyFont="1" applyBorder="1" applyAlignment="1">
      <alignment horizontal="center" vertical="center" wrapText="1"/>
    </xf>
    <xf numFmtId="0" fontId="14" fillId="0" borderId="61" xfId="0" applyFont="1" applyBorder="1" applyAlignment="1">
      <alignment vertical="center"/>
    </xf>
    <xf numFmtId="0" fontId="14" fillId="0" borderId="62" xfId="0" applyFont="1" applyBorder="1" applyAlignment="1">
      <alignment vertical="center"/>
    </xf>
    <xf numFmtId="0" fontId="14" fillId="3" borderId="57" xfId="0" applyFont="1" applyFill="1" applyBorder="1" applyAlignment="1">
      <alignment horizontal="center" vertical="center" wrapText="1"/>
    </xf>
    <xf numFmtId="0" fontId="14" fillId="0" borderId="57" xfId="0" applyFont="1" applyBorder="1" applyAlignment="1">
      <alignment vertical="center"/>
    </xf>
    <xf numFmtId="0" fontId="15" fillId="3" borderId="57" xfId="0" applyFont="1" applyFill="1" applyBorder="1" applyAlignment="1">
      <alignment horizontal="left" vertical="center" wrapText="1"/>
    </xf>
    <xf numFmtId="0" fontId="14" fillId="0" borderId="57" xfId="0" applyFont="1" applyBorder="1" applyAlignment="1">
      <alignment horizontal="center" vertical="center"/>
    </xf>
    <xf numFmtId="0" fontId="14" fillId="3" borderId="57" xfId="0" applyFont="1" applyFill="1" applyBorder="1" applyAlignment="1">
      <alignment vertical="center"/>
    </xf>
    <xf numFmtId="0" fontId="14" fillId="0" borderId="66" xfId="0" applyFont="1" applyBorder="1" applyAlignment="1">
      <alignment vertical="center"/>
    </xf>
    <xf numFmtId="0" fontId="15" fillId="4" borderId="57" xfId="0" applyFont="1" applyFill="1" applyBorder="1" applyAlignment="1">
      <alignment horizontal="left" vertical="center" wrapText="1"/>
    </xf>
    <xf numFmtId="0" fontId="16" fillId="0" borderId="57" xfId="0" applyFont="1" applyBorder="1" applyAlignment="1">
      <alignment horizontal="center" vertical="center" wrapText="1"/>
    </xf>
    <xf numFmtId="0" fontId="14" fillId="0" borderId="57" xfId="0" applyFont="1" applyBorder="1" applyAlignment="1">
      <alignment horizontal="center" vertical="center" wrapText="1"/>
    </xf>
    <xf numFmtId="0" fontId="15" fillId="18" borderId="57" xfId="0" applyFont="1" applyFill="1" applyBorder="1" applyAlignment="1">
      <alignment horizontal="left" vertical="center" wrapText="1"/>
    </xf>
    <xf numFmtId="0" fontId="16" fillId="0" borderId="57" xfId="0" applyFont="1" applyBorder="1" applyAlignment="1">
      <alignment vertical="center" wrapText="1"/>
    </xf>
    <xf numFmtId="0" fontId="20" fillId="19" borderId="57" xfId="0" applyFont="1" applyFill="1" applyBorder="1" applyAlignment="1">
      <alignment horizontal="center" vertical="center" wrapText="1"/>
    </xf>
    <xf numFmtId="167" fontId="14" fillId="0" borderId="57" xfId="0" applyNumberFormat="1" applyFont="1" applyBorder="1" applyAlignment="1">
      <alignment horizontal="center" vertical="center" wrapText="1"/>
    </xf>
    <xf numFmtId="168" fontId="14" fillId="0" borderId="57" xfId="0" applyNumberFormat="1" applyFont="1" applyBorder="1" applyAlignment="1">
      <alignment horizontal="center" vertical="center" wrapText="1"/>
    </xf>
    <xf numFmtId="18" fontId="14" fillId="0" borderId="57" xfId="0" applyNumberFormat="1" applyFont="1" applyBorder="1" applyAlignment="1">
      <alignment horizontal="center" vertical="center" wrapText="1"/>
    </xf>
    <xf numFmtId="169" fontId="14" fillId="0" borderId="57" xfId="0" applyNumberFormat="1" applyFont="1" applyBorder="1" applyAlignment="1">
      <alignment horizontal="center" vertical="center" wrapText="1"/>
    </xf>
    <xf numFmtId="167" fontId="14" fillId="18" borderId="57" xfId="0" applyNumberFormat="1" applyFont="1" applyFill="1" applyBorder="1" applyAlignment="1">
      <alignment horizontal="center" vertical="center" wrapText="1"/>
    </xf>
    <xf numFmtId="168" fontId="14" fillId="18" borderId="57" xfId="0" applyNumberFormat="1" applyFont="1" applyFill="1" applyBorder="1" applyAlignment="1">
      <alignment horizontal="center" vertical="center" wrapText="1"/>
    </xf>
    <xf numFmtId="18" fontId="14" fillId="18" borderId="57" xfId="0" applyNumberFormat="1" applyFont="1" applyFill="1" applyBorder="1" applyAlignment="1">
      <alignment horizontal="center" vertical="center" wrapText="1"/>
    </xf>
    <xf numFmtId="0" fontId="14" fillId="18" borderId="57" xfId="0" applyFont="1" applyFill="1" applyBorder="1" applyAlignment="1">
      <alignment horizontal="center" vertical="center" wrapText="1"/>
    </xf>
    <xf numFmtId="168" fontId="16" fillId="20" borderId="57" xfId="0" applyNumberFormat="1" applyFont="1" applyFill="1" applyBorder="1" applyAlignment="1">
      <alignment horizontal="center" vertical="center"/>
    </xf>
    <xf numFmtId="0" fontId="16" fillId="20" borderId="57" xfId="0" applyFont="1" applyFill="1" applyBorder="1" applyAlignment="1">
      <alignment horizontal="center" vertical="center"/>
    </xf>
    <xf numFmtId="169" fontId="16" fillId="20" borderId="57" xfId="0" applyNumberFormat="1" applyFont="1" applyFill="1" applyBorder="1" applyAlignment="1">
      <alignment horizontal="center" vertical="center"/>
    </xf>
    <xf numFmtId="0" fontId="14" fillId="0" borderId="63" xfId="0" applyFont="1" applyBorder="1" applyAlignment="1">
      <alignment vertical="center"/>
    </xf>
    <xf numFmtId="0" fontId="14" fillId="0" borderId="58" xfId="0" applyFont="1" applyBorder="1" applyAlignment="1">
      <alignment vertical="center"/>
    </xf>
    <xf numFmtId="0" fontId="14" fillId="0" borderId="58" xfId="0" applyFont="1" applyBorder="1" applyAlignment="1">
      <alignment horizontal="center" vertical="center"/>
    </xf>
    <xf numFmtId="0" fontId="14" fillId="0" borderId="67" xfId="0" applyFont="1" applyBorder="1" applyAlignment="1">
      <alignment vertical="center"/>
    </xf>
    <xf numFmtId="0" fontId="33" fillId="7" borderId="57" xfId="0" applyFont="1" applyFill="1" applyBorder="1" applyAlignment="1">
      <alignment horizontal="center"/>
    </xf>
    <xf numFmtId="0" fontId="33" fillId="21" borderId="57" xfId="0" applyFont="1" applyFill="1" applyBorder="1" applyAlignment="1">
      <alignment horizontal="center"/>
    </xf>
    <xf numFmtId="0" fontId="59" fillId="18" borderId="0" xfId="0" applyFont="1" applyFill="1" applyAlignment="1">
      <alignment horizontal="left"/>
    </xf>
    <xf numFmtId="0" fontId="53" fillId="14" borderId="43" xfId="0" applyFont="1" applyFill="1" applyBorder="1" applyAlignment="1">
      <alignment horizontal="left"/>
    </xf>
    <xf numFmtId="0" fontId="21" fillId="19" borderId="64" xfId="0" applyFont="1" applyFill="1" applyBorder="1" applyAlignment="1">
      <alignment vertical="center"/>
    </xf>
    <xf numFmtId="0" fontId="21" fillId="0" borderId="64" xfId="0" applyFont="1" applyBorder="1" applyAlignment="1">
      <alignment vertical="center"/>
    </xf>
    <xf numFmtId="0" fontId="16" fillId="0" borderId="68" xfId="0" applyFont="1" applyBorder="1" applyAlignment="1">
      <alignment vertical="center" wrapText="1"/>
    </xf>
    <xf numFmtId="0" fontId="16" fillId="0" borderId="69" xfId="0" applyFont="1" applyBorder="1" applyAlignment="1">
      <alignment vertical="center" wrapText="1"/>
    </xf>
    <xf numFmtId="0" fontId="71" fillId="18" borderId="0" xfId="0" applyFont="1" applyFill="1" applyAlignment="1">
      <alignment vertical="center"/>
    </xf>
    <xf numFmtId="0" fontId="21" fillId="0" borderId="75" xfId="0" applyFont="1" applyBorder="1" applyAlignment="1">
      <alignment vertical="center"/>
    </xf>
    <xf numFmtId="0" fontId="14" fillId="0" borderId="78" xfId="0" applyFont="1" applyBorder="1" applyAlignment="1">
      <alignment vertical="center"/>
    </xf>
    <xf numFmtId="0" fontId="14" fillId="0" borderId="80" xfId="0" applyFont="1" applyBorder="1" applyAlignment="1">
      <alignment vertical="center"/>
    </xf>
    <xf numFmtId="0" fontId="20" fillId="19" borderId="78" xfId="0" applyFont="1" applyFill="1" applyBorder="1" applyAlignment="1">
      <alignment horizontal="center" vertical="center" wrapText="1"/>
    </xf>
    <xf numFmtId="168" fontId="16" fillId="20" borderId="78" xfId="0" applyNumberFormat="1" applyFont="1" applyFill="1" applyBorder="1" applyAlignment="1">
      <alignment horizontal="center" vertical="center"/>
    </xf>
    <xf numFmtId="0" fontId="14" fillId="0" borderId="82" xfId="0" applyFont="1" applyBorder="1" applyAlignment="1">
      <alignment vertical="center"/>
    </xf>
    <xf numFmtId="0" fontId="14" fillId="0" borderId="83" xfId="0" applyFont="1" applyBorder="1" applyAlignment="1">
      <alignment vertical="center"/>
    </xf>
    <xf numFmtId="0" fontId="14" fillId="0" borderId="45" xfId="0" applyFont="1" applyBorder="1" applyAlignment="1">
      <alignment vertical="center"/>
    </xf>
    <xf numFmtId="0" fontId="83" fillId="19" borderId="57" xfId="0" applyFont="1" applyFill="1" applyBorder="1" applyAlignment="1">
      <alignment horizontal="center" vertical="center" wrapText="1"/>
    </xf>
    <xf numFmtId="0" fontId="14" fillId="0" borderId="68" xfId="0" applyFont="1" applyBorder="1" applyAlignment="1">
      <alignment horizontal="center" vertical="center" wrapText="1"/>
    </xf>
    <xf numFmtId="0" fontId="14" fillId="0" borderId="69" xfId="0" applyFont="1" applyBorder="1" applyAlignment="1">
      <alignment horizontal="center" vertical="center" wrapText="1"/>
    </xf>
    <xf numFmtId="0" fontId="14" fillId="0" borderId="62" xfId="0" applyFont="1" applyBorder="1" applyAlignment="1">
      <alignment horizontal="center" vertical="center"/>
    </xf>
    <xf numFmtId="0" fontId="31" fillId="18" borderId="58" xfId="0" applyFont="1" applyFill="1" applyBorder="1" applyAlignment="1">
      <alignment horizontal="center" vertical="center" wrapText="1"/>
    </xf>
    <xf numFmtId="0" fontId="31" fillId="18" borderId="60" xfId="0" applyFont="1" applyFill="1" applyBorder="1" applyAlignment="1">
      <alignment horizontal="center" vertical="center" wrapText="1"/>
    </xf>
    <xf numFmtId="0" fontId="14" fillId="0" borderId="76" xfId="0" applyFont="1" applyBorder="1" applyAlignment="1">
      <alignment horizontal="center" vertical="center"/>
    </xf>
    <xf numFmtId="0" fontId="14" fillId="0" borderId="68" xfId="0" applyFont="1" applyBorder="1" applyAlignment="1">
      <alignment vertical="center"/>
    </xf>
    <xf numFmtId="0" fontId="16" fillId="0" borderId="62" xfId="0" applyFont="1" applyBorder="1" applyAlignment="1">
      <alignment horizontal="center" vertical="center" wrapText="1"/>
    </xf>
    <xf numFmtId="0" fontId="16" fillId="0" borderId="68" xfId="0" applyFont="1" applyBorder="1" applyAlignment="1">
      <alignment horizontal="center" vertical="center" wrapText="1"/>
    </xf>
    <xf numFmtId="0" fontId="14" fillId="0" borderId="69" xfId="0" applyFont="1" applyBorder="1" applyAlignment="1">
      <alignment vertical="center"/>
    </xf>
    <xf numFmtId="0" fontId="14" fillId="0" borderId="81" xfId="0" applyFont="1" applyBorder="1" applyAlignment="1">
      <alignment vertical="center"/>
    </xf>
    <xf numFmtId="0" fontId="20" fillId="0" borderId="69" xfId="0" applyFont="1" applyBorder="1" applyAlignment="1">
      <alignment horizontal="center" vertical="center" wrapText="1"/>
    </xf>
    <xf numFmtId="0" fontId="2" fillId="2" borderId="0" xfId="0" applyFont="1" applyFill="1" applyAlignment="1">
      <alignment horizontal="center" vertical="center" wrapText="1"/>
    </xf>
    <xf numFmtId="0" fontId="22" fillId="0" borderId="38" xfId="0" applyFont="1" applyBorder="1" applyAlignment="1">
      <alignment horizontal="center"/>
    </xf>
    <xf numFmtId="0" fontId="0" fillId="0" borderId="37" xfId="0" applyBorder="1"/>
    <xf numFmtId="0" fontId="0" fillId="0" borderId="40" xfId="0" applyBorder="1"/>
    <xf numFmtId="0" fontId="4" fillId="2" borderId="34" xfId="0" applyFont="1" applyFill="1" applyBorder="1" applyAlignment="1">
      <alignment horizontal="justify" vertical="top" wrapText="1"/>
    </xf>
    <xf numFmtId="0" fontId="4" fillId="2" borderId="1" xfId="0" applyFont="1" applyFill="1" applyBorder="1" applyAlignment="1">
      <alignment horizontal="justify" vertical="top" wrapText="1"/>
    </xf>
    <xf numFmtId="0" fontId="4" fillId="2" borderId="39" xfId="0" applyFont="1" applyFill="1" applyBorder="1" applyAlignment="1">
      <alignment horizontal="justify" vertical="top" wrapText="1"/>
    </xf>
    <xf numFmtId="0" fontId="17" fillId="5" borderId="24" xfId="0" applyFont="1" applyFill="1" applyBorder="1" applyAlignment="1">
      <alignment horizontal="center"/>
    </xf>
    <xf numFmtId="0" fontId="0" fillId="0" borderId="22" xfId="0" applyBorder="1"/>
    <xf numFmtId="0" fontId="0" fillId="0" borderId="27" xfId="0" applyBorder="1"/>
    <xf numFmtId="0" fontId="18" fillId="6" borderId="25" xfId="0" applyFont="1" applyFill="1" applyBorder="1" applyAlignment="1">
      <alignment horizontal="center"/>
    </xf>
    <xf numFmtId="0" fontId="0" fillId="0" borderId="0" xfId="0"/>
    <xf numFmtId="0" fontId="19" fillId="7" borderId="0" xfId="0" applyFont="1" applyFill="1" applyAlignment="1">
      <alignment horizontal="left" wrapText="1"/>
    </xf>
    <xf numFmtId="0" fontId="0" fillId="0" borderId="0" xfId="0" applyAlignment="1">
      <alignment wrapText="1"/>
    </xf>
    <xf numFmtId="0" fontId="0" fillId="0" borderId="28" xfId="0" applyBorder="1" applyAlignment="1">
      <alignment wrapText="1"/>
    </xf>
    <xf numFmtId="0" fontId="53" fillId="0" borderId="50" xfId="0" applyFont="1" applyBorder="1" applyAlignment="1">
      <alignment horizontal="left" vertical="top" wrapText="1"/>
    </xf>
    <xf numFmtId="0" fontId="53" fillId="0" borderId="0" xfId="0" applyFont="1" applyAlignment="1">
      <alignment horizontal="left" vertical="top" wrapText="1"/>
    </xf>
    <xf numFmtId="0" fontId="53" fillId="0" borderId="3" xfId="0" applyFont="1" applyBorder="1" applyAlignment="1">
      <alignment horizontal="left" vertical="top" wrapText="1"/>
    </xf>
    <xf numFmtId="0" fontId="53" fillId="22" borderId="21" xfId="0" applyFont="1" applyFill="1" applyBorder="1" applyAlignment="1">
      <alignment horizontal="center"/>
    </xf>
    <xf numFmtId="0" fontId="53" fillId="22" borderId="17" xfId="0" applyFont="1" applyFill="1" applyBorder="1" applyAlignment="1">
      <alignment horizontal="center"/>
    </xf>
    <xf numFmtId="0" fontId="54" fillId="2" borderId="0" xfId="2" applyFont="1" applyFill="1" applyBorder="1" applyAlignment="1">
      <alignment horizontal="left" vertical="center" wrapText="1"/>
    </xf>
    <xf numFmtId="0" fontId="54" fillId="2" borderId="0" xfId="2" applyFont="1" applyFill="1" applyAlignment="1">
      <alignment horizontal="left" vertical="center" wrapText="1"/>
    </xf>
    <xf numFmtId="0" fontId="54" fillId="2" borderId="3" xfId="2" applyFont="1" applyFill="1" applyBorder="1" applyAlignment="1">
      <alignment horizontal="left" vertical="center" wrapText="1"/>
    </xf>
    <xf numFmtId="0" fontId="80" fillId="5" borderId="44" xfId="0" applyFont="1" applyFill="1" applyBorder="1" applyAlignment="1">
      <alignment horizontal="center"/>
    </xf>
    <xf numFmtId="0" fontId="81" fillId="0" borderId="2" xfId="0" applyFont="1" applyBorder="1"/>
    <xf numFmtId="0" fontId="81" fillId="0" borderId="51" xfId="0" applyFont="1" applyBorder="1"/>
    <xf numFmtId="0" fontId="53" fillId="6" borderId="50" xfId="0" applyFont="1" applyFill="1" applyBorder="1" applyAlignment="1">
      <alignment horizontal="center" vertical="center"/>
    </xf>
    <xf numFmtId="0" fontId="54" fillId="0" borderId="0" xfId="0" applyFont="1" applyAlignment="1">
      <alignment vertical="center"/>
    </xf>
    <xf numFmtId="0" fontId="85" fillId="7" borderId="0" xfId="0" applyFont="1" applyFill="1" applyAlignment="1">
      <alignment horizontal="left" vertical="center" wrapText="1"/>
    </xf>
    <xf numFmtId="0" fontId="85" fillId="0" borderId="3" xfId="0" applyFont="1" applyBorder="1" applyAlignment="1">
      <alignment vertical="center" wrapText="1"/>
    </xf>
    <xf numFmtId="0" fontId="80" fillId="17" borderId="1" xfId="0" applyFont="1" applyFill="1" applyBorder="1" applyAlignment="1">
      <alignment horizontal="center" vertical="center" wrapText="1"/>
    </xf>
    <xf numFmtId="0" fontId="50" fillId="0" borderId="45" xfId="0" applyFont="1" applyBorder="1" applyAlignment="1">
      <alignment horizontal="center"/>
    </xf>
    <xf numFmtId="0" fontId="56" fillId="0" borderId="4" xfId="0" applyFont="1" applyBorder="1"/>
    <xf numFmtId="0" fontId="56" fillId="0" borderId="5" xfId="0" applyFont="1" applyBorder="1"/>
    <xf numFmtId="0" fontId="53" fillId="15" borderId="21" xfId="0" applyFont="1" applyFill="1" applyBorder="1" applyAlignment="1">
      <alignment horizontal="center"/>
    </xf>
    <xf numFmtId="0" fontId="53" fillId="15" borderId="17" xfId="0" applyFont="1" applyFill="1" applyBorder="1" applyAlignment="1">
      <alignment horizontal="center"/>
    </xf>
    <xf numFmtId="0" fontId="55" fillId="2" borderId="0" xfId="2" applyFont="1" applyFill="1" applyBorder="1" applyAlignment="1">
      <alignment horizontal="left" vertical="center" wrapText="1"/>
    </xf>
    <xf numFmtId="0" fontId="55" fillId="2" borderId="3" xfId="2" applyFont="1" applyFill="1" applyBorder="1" applyAlignment="1">
      <alignment horizontal="left" vertical="center" wrapText="1"/>
    </xf>
    <xf numFmtId="0" fontId="55" fillId="2" borderId="0" xfId="2" applyFont="1" applyFill="1" applyBorder="1" applyAlignment="1">
      <alignment horizontal="left" vertical="center"/>
    </xf>
    <xf numFmtId="0" fontId="55" fillId="2" borderId="3" xfId="2" applyFont="1" applyFill="1" applyBorder="1" applyAlignment="1">
      <alignment horizontal="left" vertical="center"/>
    </xf>
    <xf numFmtId="0" fontId="53" fillId="14" borderId="21" xfId="0" applyFont="1" applyFill="1" applyBorder="1" applyAlignment="1">
      <alignment horizontal="center"/>
    </xf>
    <xf numFmtId="0" fontId="53" fillId="14" borderId="17" xfId="0" applyFont="1" applyFill="1" applyBorder="1" applyAlignment="1">
      <alignment horizontal="center"/>
    </xf>
    <xf numFmtId="0" fontId="54" fillId="2" borderId="0" xfId="2" applyFont="1" applyFill="1" applyBorder="1" applyAlignment="1">
      <alignment horizontal="left" vertical="center"/>
    </xf>
    <xf numFmtId="0" fontId="54" fillId="2" borderId="3" xfId="2" applyFont="1" applyFill="1" applyBorder="1" applyAlignment="1">
      <alignment horizontal="left" vertical="center"/>
    </xf>
    <xf numFmtId="0" fontId="71" fillId="20" borderId="0" xfId="0" applyFont="1" applyFill="1" applyAlignment="1">
      <alignment vertical="center"/>
    </xf>
    <xf numFmtId="0" fontId="0" fillId="18" borderId="56" xfId="0" applyFill="1" applyBorder="1"/>
    <xf numFmtId="0" fontId="16" fillId="0" borderId="57" xfId="0" applyFont="1" applyBorder="1" applyAlignment="1">
      <alignment horizontal="center" vertical="center" wrapText="1"/>
    </xf>
    <xf numFmtId="0" fontId="14" fillId="0" borderId="68" xfId="0" applyFont="1" applyBorder="1" applyAlignment="1">
      <alignment horizontal="center" vertical="center"/>
    </xf>
    <xf numFmtId="0" fontId="14" fillId="0" borderId="62" xfId="0" applyFont="1" applyBorder="1" applyAlignment="1">
      <alignment horizontal="center" vertical="center"/>
    </xf>
    <xf numFmtId="0" fontId="79" fillId="0" borderId="0" xfId="0" applyFont="1" applyAlignment="1">
      <alignment vertical="center" wrapText="1"/>
    </xf>
    <xf numFmtId="0" fontId="75" fillId="19" borderId="0" xfId="2" applyFont="1" applyFill="1" applyAlignment="1">
      <alignment horizontal="center" vertical="center"/>
    </xf>
    <xf numFmtId="0" fontId="64" fillId="19" borderId="0" xfId="0" applyFont="1" applyFill="1" applyAlignment="1">
      <alignment horizontal="center" vertical="center"/>
    </xf>
    <xf numFmtId="0" fontId="21" fillId="19" borderId="72" xfId="0" applyFont="1" applyFill="1" applyBorder="1" applyAlignment="1">
      <alignment horizontal="center" vertical="center"/>
    </xf>
    <xf numFmtId="0" fontId="21" fillId="19" borderId="73" xfId="0" applyFont="1" applyFill="1" applyBorder="1" applyAlignment="1">
      <alignment horizontal="center" vertical="center"/>
    </xf>
    <xf numFmtId="0" fontId="14" fillId="0" borderId="70" xfId="0" applyFont="1" applyBorder="1" applyAlignment="1">
      <alignment horizontal="left" vertical="center" wrapText="1"/>
    </xf>
    <xf numFmtId="0" fontId="14" fillId="0" borderId="77" xfId="0" applyFont="1" applyBorder="1" applyAlignment="1">
      <alignment horizontal="left" vertical="center" wrapText="1"/>
    </xf>
    <xf numFmtId="0" fontId="14" fillId="0" borderId="0" xfId="0" applyFont="1" applyAlignment="1">
      <alignment horizontal="left" vertical="center" wrapText="1"/>
    </xf>
    <xf numFmtId="0" fontId="14" fillId="0" borderId="3" xfId="0" applyFont="1" applyBorder="1" applyAlignment="1">
      <alignment horizontal="left" vertical="center" wrapText="1"/>
    </xf>
    <xf numFmtId="0" fontId="14" fillId="0" borderId="71" xfId="0" applyFont="1" applyBorder="1" applyAlignment="1">
      <alignment horizontal="left" vertical="center" wrapText="1"/>
    </xf>
    <xf numFmtId="0" fontId="14" fillId="0" borderId="79" xfId="0" applyFont="1" applyBorder="1" applyAlignment="1">
      <alignment horizontal="left" vertical="center" wrapText="1"/>
    </xf>
    <xf numFmtId="0" fontId="21" fillId="19" borderId="74" xfId="0" applyFont="1" applyFill="1" applyBorder="1" applyAlignment="1">
      <alignment horizontal="center" vertical="center"/>
    </xf>
    <xf numFmtId="0" fontId="14" fillId="3" borderId="76" xfId="0" applyFont="1" applyFill="1" applyBorder="1" applyAlignment="1">
      <alignment horizontal="center" vertical="center" wrapText="1"/>
    </xf>
    <xf numFmtId="0" fontId="14" fillId="3" borderId="62" xfId="0" applyFont="1" applyFill="1" applyBorder="1" applyAlignment="1">
      <alignment horizontal="center" vertical="center" wrapText="1"/>
    </xf>
    <xf numFmtId="0" fontId="14" fillId="0" borderId="68" xfId="0" applyFont="1" applyBorder="1" applyAlignment="1">
      <alignment horizontal="center" vertical="center" wrapText="1"/>
    </xf>
    <xf numFmtId="0" fontId="14" fillId="0" borderId="69" xfId="0" applyFont="1" applyBorder="1" applyAlignment="1">
      <alignment horizontal="center" vertical="center" wrapText="1"/>
    </xf>
    <xf numFmtId="0" fontId="14" fillId="0" borderId="81" xfId="0" applyFont="1" applyBorder="1" applyAlignment="1">
      <alignment horizontal="center" vertical="center" wrapText="1"/>
    </xf>
    <xf numFmtId="167" fontId="14" fillId="0" borderId="68" xfId="0" applyNumberFormat="1" applyFont="1" applyBorder="1" applyAlignment="1">
      <alignment horizontal="center" vertical="center" wrapText="1"/>
    </xf>
    <xf numFmtId="167" fontId="14" fillId="0" borderId="69" xfId="0" applyNumberFormat="1" applyFont="1" applyBorder="1" applyAlignment="1">
      <alignment horizontal="center" vertical="center" wrapText="1"/>
    </xf>
    <xf numFmtId="167" fontId="14" fillId="0" borderId="62" xfId="0" applyNumberFormat="1" applyFont="1" applyBorder="1" applyAlignment="1">
      <alignment horizontal="center" vertical="center" wrapText="1"/>
    </xf>
    <xf numFmtId="0" fontId="16" fillId="20" borderId="57" xfId="0" applyFont="1" applyFill="1" applyBorder="1" applyAlignment="1">
      <alignment horizontal="center"/>
    </xf>
    <xf numFmtId="0" fontId="22" fillId="0" borderId="4" xfId="0" applyFont="1" applyBorder="1" applyAlignment="1">
      <alignment horizontal="center"/>
    </xf>
    <xf numFmtId="0" fontId="0" fillId="0" borderId="4" xfId="0" applyBorder="1"/>
    <xf numFmtId="0" fontId="0" fillId="0" borderId="5" xfId="0" applyBorder="1"/>
    <xf numFmtId="0" fontId="20" fillId="19" borderId="68" xfId="0" applyFont="1" applyFill="1" applyBorder="1" applyAlignment="1">
      <alignment horizontal="center" vertical="center" wrapText="1"/>
    </xf>
    <xf numFmtId="0" fontId="20" fillId="19" borderId="69" xfId="0" applyFont="1" applyFill="1" applyBorder="1" applyAlignment="1">
      <alignment horizontal="center" vertical="center" wrapText="1"/>
    </xf>
    <xf numFmtId="0" fontId="20" fillId="19" borderId="62" xfId="0" applyFont="1" applyFill="1" applyBorder="1" applyAlignment="1">
      <alignment horizontal="center" vertical="center" wrapText="1"/>
    </xf>
    <xf numFmtId="0" fontId="20" fillId="19" borderId="68" xfId="0" applyFont="1" applyFill="1" applyBorder="1" applyAlignment="1">
      <alignment horizontal="center" vertical="center"/>
    </xf>
    <xf numFmtId="0" fontId="20" fillId="19" borderId="69" xfId="0" applyFont="1" applyFill="1" applyBorder="1" applyAlignment="1">
      <alignment horizontal="center" vertical="center"/>
    </xf>
    <xf numFmtId="0" fontId="20" fillId="19" borderId="81" xfId="0" applyFont="1" applyFill="1" applyBorder="1" applyAlignment="1">
      <alignment horizontal="center" vertical="center"/>
    </xf>
    <xf numFmtId="0" fontId="14" fillId="0" borderId="62" xfId="0" applyFont="1" applyBorder="1" applyAlignment="1">
      <alignment horizontal="center" vertical="center" wrapText="1"/>
    </xf>
    <xf numFmtId="1" fontId="14" fillId="0" borderId="68" xfId="0" applyNumberFormat="1" applyFont="1" applyBorder="1" applyAlignment="1">
      <alignment horizontal="center" vertical="center" wrapText="1"/>
    </xf>
    <xf numFmtId="1" fontId="14" fillId="0" borderId="62" xfId="0" applyNumberFormat="1" applyFont="1" applyBorder="1" applyAlignment="1">
      <alignment horizontal="center" vertical="center" wrapText="1"/>
    </xf>
    <xf numFmtId="18" fontId="14" fillId="0" borderId="68" xfId="0" applyNumberFormat="1" applyFont="1" applyBorder="1" applyAlignment="1">
      <alignment horizontal="center" vertical="center" wrapText="1"/>
    </xf>
    <xf numFmtId="18" fontId="14" fillId="0" borderId="62" xfId="0" applyNumberFormat="1" applyFont="1" applyBorder="1" applyAlignment="1">
      <alignment horizontal="center" vertical="center" wrapText="1"/>
    </xf>
    <xf numFmtId="0" fontId="14" fillId="0" borderId="76" xfId="0" applyFont="1" applyBorder="1" applyAlignment="1">
      <alignment horizontal="center" vertical="center"/>
    </xf>
    <xf numFmtId="0" fontId="71" fillId="18" borderId="0" xfId="0" applyFont="1" applyFill="1" applyAlignment="1">
      <alignment horizontal="center" vertical="center"/>
    </xf>
    <xf numFmtId="0" fontId="22" fillId="0" borderId="26" xfId="0" applyFont="1" applyBorder="1" applyAlignment="1">
      <alignment horizontal="center"/>
    </xf>
    <xf numFmtId="0" fontId="0" fillId="0" borderId="23" xfId="0" applyBorder="1"/>
    <xf numFmtId="0" fontId="0" fillId="0" borderId="29" xfId="0" applyBorder="1"/>
    <xf numFmtId="0" fontId="20" fillId="19" borderId="57" xfId="0" applyFont="1" applyFill="1" applyBorder="1" applyAlignment="1">
      <alignment horizontal="center" vertical="center"/>
    </xf>
    <xf numFmtId="0" fontId="14" fillId="0" borderId="57" xfId="0" applyFont="1" applyBorder="1" applyAlignment="1">
      <alignment horizontal="left" vertical="center" wrapText="1"/>
    </xf>
    <xf numFmtId="0" fontId="14" fillId="0" borderId="57" xfId="0" applyFont="1" applyBorder="1" applyAlignment="1">
      <alignment horizontal="center" vertical="center" wrapText="1"/>
    </xf>
    <xf numFmtId="0" fontId="14" fillId="0" borderId="57" xfId="0" applyFont="1" applyBorder="1" applyAlignment="1">
      <alignment horizontal="left" vertical="center"/>
    </xf>
    <xf numFmtId="0" fontId="14" fillId="0" borderId="57" xfId="0" applyFont="1" applyBorder="1" applyAlignment="1">
      <alignment horizontal="center" vertical="center"/>
    </xf>
    <xf numFmtId="0" fontId="14" fillId="18" borderId="57" xfId="0" applyFont="1" applyFill="1" applyBorder="1" applyAlignment="1">
      <alignment horizontal="center" vertical="center"/>
    </xf>
    <xf numFmtId="0" fontId="14" fillId="0" borderId="66" xfId="0" applyFont="1" applyBorder="1" applyAlignment="1">
      <alignment horizontal="center" vertical="center"/>
    </xf>
    <xf numFmtId="0" fontId="21" fillId="19" borderId="64" xfId="0" applyFont="1" applyFill="1" applyBorder="1" applyAlignment="1">
      <alignment horizontal="center" vertical="center"/>
    </xf>
    <xf numFmtId="0" fontId="21" fillId="19" borderId="65" xfId="0" applyFont="1" applyFill="1" applyBorder="1" applyAlignment="1">
      <alignment horizontal="center" vertical="center"/>
    </xf>
    <xf numFmtId="0" fontId="57" fillId="0" borderId="0" xfId="0" applyFont="1" applyAlignment="1">
      <alignment vertical="center" wrapText="1"/>
    </xf>
    <xf numFmtId="0" fontId="58" fillId="18" borderId="0" xfId="0" applyFont="1" applyFill="1" applyAlignment="1">
      <alignment horizontal="center"/>
    </xf>
    <xf numFmtId="0" fontId="59" fillId="0" borderId="0" xfId="0" applyFont="1" applyAlignment="1">
      <alignment horizontal="center"/>
    </xf>
    <xf numFmtId="0" fontId="60" fillId="19" borderId="0" xfId="2" applyFont="1" applyFill="1" applyAlignment="1">
      <alignment horizontal="center" vertical="center"/>
    </xf>
    <xf numFmtId="0" fontId="60" fillId="19" borderId="0" xfId="0" applyFont="1" applyFill="1" applyAlignment="1">
      <alignment horizontal="center" vertical="center"/>
    </xf>
    <xf numFmtId="0" fontId="61" fillId="19" borderId="0" xfId="0" applyFont="1" applyFill="1" applyAlignment="1">
      <alignment horizontal="center" vertical="center" wrapText="1"/>
    </xf>
    <xf numFmtId="0" fontId="59" fillId="18" borderId="0" xfId="0" applyFont="1" applyFill="1" applyAlignment="1">
      <alignment horizontal="left"/>
    </xf>
    <xf numFmtId="0" fontId="59" fillId="7" borderId="0" xfId="0" applyFont="1" applyFill="1" applyAlignment="1">
      <alignment horizontal="left"/>
    </xf>
    <xf numFmtId="0" fontId="35" fillId="20" borderId="57" xfId="0" applyFont="1" applyFill="1" applyBorder="1" applyAlignment="1">
      <alignment horizontal="center" vertical="center"/>
    </xf>
    <xf numFmtId="170" fontId="35" fillId="20" borderId="57" xfId="0" applyNumberFormat="1" applyFont="1" applyFill="1" applyBorder="1" applyAlignment="1">
      <alignment horizontal="center"/>
    </xf>
    <xf numFmtId="0" fontId="35" fillId="20" borderId="57" xfId="0" applyFont="1" applyFill="1" applyBorder="1" applyAlignment="1">
      <alignment horizontal="center"/>
    </xf>
    <xf numFmtId="171" fontId="35" fillId="20" borderId="58" xfId="0" applyNumberFormat="1" applyFont="1" applyFill="1" applyBorder="1" applyAlignment="1">
      <alignment horizontal="center" vertical="center"/>
    </xf>
    <xf numFmtId="0" fontId="35" fillId="20" borderId="59" xfId="0" applyFont="1" applyFill="1" applyBorder="1" applyAlignment="1">
      <alignment horizontal="center" vertical="center"/>
    </xf>
    <xf numFmtId="0" fontId="35" fillId="20" borderId="60" xfId="0" applyFont="1" applyFill="1" applyBorder="1" applyAlignment="1">
      <alignment horizontal="center" vertical="center"/>
    </xf>
    <xf numFmtId="0" fontId="34" fillId="20" borderId="57" xfId="0" applyFont="1" applyFill="1" applyBorder="1" applyAlignment="1">
      <alignment horizontal="left" vertical="top"/>
    </xf>
    <xf numFmtId="0" fontId="36" fillId="20" borderId="57" xfId="0" applyFont="1" applyFill="1" applyBorder="1" applyAlignment="1">
      <alignment horizontal="left" vertical="top"/>
    </xf>
    <xf numFmtId="0" fontId="33" fillId="21" borderId="57" xfId="0" applyFont="1" applyFill="1" applyBorder="1" applyAlignment="1">
      <alignment horizontal="center"/>
    </xf>
    <xf numFmtId="0" fontId="33" fillId="7" borderId="57" xfId="0" applyFont="1" applyFill="1" applyBorder="1" applyAlignment="1">
      <alignment horizontal="center"/>
    </xf>
    <xf numFmtId="0" fontId="34" fillId="20" borderId="57" xfId="0" applyFont="1" applyFill="1" applyBorder="1" applyAlignment="1">
      <alignment horizontal="center" vertical="top" wrapText="1"/>
    </xf>
    <xf numFmtId="0" fontId="31" fillId="18" borderId="57" xfId="0" applyFont="1" applyFill="1" applyBorder="1" applyAlignment="1">
      <alignment horizontal="center" vertical="center" wrapText="1"/>
    </xf>
    <xf numFmtId="0" fontId="31" fillId="18" borderId="57" xfId="0" applyFont="1" applyFill="1" applyBorder="1" applyAlignment="1">
      <alignment horizontal="center"/>
    </xf>
    <xf numFmtId="0" fontId="31" fillId="18" borderId="58" xfId="0" applyFont="1" applyFill="1" applyBorder="1" applyAlignment="1">
      <alignment horizontal="center" vertical="center" wrapText="1"/>
    </xf>
    <xf numFmtId="0" fontId="31" fillId="18" borderId="60" xfId="0" applyFont="1" applyFill="1" applyBorder="1" applyAlignment="1">
      <alignment horizontal="center" vertical="center" wrapText="1"/>
    </xf>
    <xf numFmtId="0" fontId="26" fillId="0" borderId="41" xfId="0" applyFont="1" applyBorder="1" applyAlignment="1">
      <alignment horizontal="left"/>
    </xf>
    <xf numFmtId="0" fontId="26" fillId="0" borderId="14" xfId="0" applyFont="1" applyBorder="1" applyAlignment="1">
      <alignment horizontal="left"/>
    </xf>
    <xf numFmtId="0" fontId="26" fillId="0" borderId="13" xfId="0" applyFont="1" applyBorder="1" applyAlignment="1">
      <alignment horizontal="left"/>
    </xf>
    <xf numFmtId="0" fontId="27" fillId="0" borderId="41" xfId="0" applyFont="1" applyBorder="1" applyAlignment="1">
      <alignment horizontal="left"/>
    </xf>
    <xf numFmtId="0" fontId="29" fillId="0" borderId="14" xfId="0" applyFont="1" applyBorder="1" applyAlignment="1">
      <alignment horizontal="left"/>
    </xf>
    <xf numFmtId="0" fontId="29" fillId="0" borderId="13" xfId="0" applyFont="1" applyBorder="1" applyAlignment="1">
      <alignment horizontal="left"/>
    </xf>
    <xf numFmtId="0" fontId="24" fillId="0" borderId="31" xfId="0" applyFont="1" applyBorder="1" applyAlignment="1">
      <alignment horizontal="center"/>
    </xf>
    <xf numFmtId="0" fontId="24" fillId="0" borderId="36" xfId="0" applyFont="1" applyBorder="1" applyAlignment="1">
      <alignment horizontal="center"/>
    </xf>
    <xf numFmtId="0" fontId="24" fillId="0" borderId="30" xfId="0" applyFont="1" applyBorder="1" applyAlignment="1">
      <alignment horizontal="left"/>
    </xf>
    <xf numFmtId="0" fontId="24" fillId="18" borderId="44" xfId="0" applyFont="1" applyFill="1" applyBorder="1" applyAlignment="1">
      <alignment horizontal="center"/>
    </xf>
    <xf numFmtId="0" fontId="24" fillId="18" borderId="2" xfId="0" applyFont="1" applyFill="1" applyBorder="1" applyAlignment="1">
      <alignment horizontal="center"/>
    </xf>
    <xf numFmtId="0" fontId="24" fillId="18" borderId="51" xfId="0" applyFont="1" applyFill="1" applyBorder="1" applyAlignment="1">
      <alignment horizontal="center"/>
    </xf>
    <xf numFmtId="0" fontId="0" fillId="0" borderId="69" xfId="0" applyBorder="1" applyAlignment="1">
      <alignment horizontal="center"/>
    </xf>
    <xf numFmtId="0" fontId="0" fillId="0" borderId="62" xfId="0" applyBorder="1" applyAlignment="1">
      <alignment horizontal="center"/>
    </xf>
    <xf numFmtId="0" fontId="35" fillId="20" borderId="57" xfId="0" applyFont="1" applyFill="1" applyBorder="1" applyAlignment="1">
      <alignment horizontal="left" vertical="top" wrapText="1"/>
    </xf>
    <xf numFmtId="0" fontId="35" fillId="20" borderId="57" xfId="0" applyFont="1" applyFill="1" applyBorder="1" applyAlignment="1">
      <alignment horizontal="left" vertical="top"/>
    </xf>
    <xf numFmtId="0" fontId="34" fillId="20" borderId="57" xfId="0" applyFont="1" applyFill="1" applyBorder="1" applyAlignment="1">
      <alignment horizontal="left" vertical="top" wrapText="1"/>
    </xf>
    <xf numFmtId="0" fontId="61" fillId="19" borderId="0" xfId="0" applyFont="1" applyFill="1" applyAlignment="1">
      <alignment horizontal="left" vertical="center" wrapText="1"/>
    </xf>
    <xf numFmtId="0" fontId="0" fillId="18" borderId="0" xfId="0" applyFill="1"/>
    <xf numFmtId="0" fontId="34" fillId="18" borderId="57" xfId="0" applyFont="1" applyFill="1" applyBorder="1" applyAlignment="1">
      <alignment horizontal="left" vertical="center" wrapText="1"/>
    </xf>
    <xf numFmtId="0" fontId="34" fillId="18" borderId="57" xfId="0" applyFont="1" applyFill="1" applyBorder="1" applyAlignment="1">
      <alignment horizontal="left"/>
    </xf>
    <xf numFmtId="0" fontId="36" fillId="18" borderId="57" xfId="0" applyFont="1" applyFill="1" applyBorder="1" applyAlignment="1">
      <alignment horizontal="left" vertical="top" wrapText="1"/>
    </xf>
    <xf numFmtId="0" fontId="36" fillId="7" borderId="57" xfId="0" applyFont="1" applyFill="1" applyBorder="1" applyAlignment="1">
      <alignment horizontal="left" vertical="top" wrapText="1"/>
    </xf>
    <xf numFmtId="0" fontId="36" fillId="7" borderId="57" xfId="0" applyFont="1" applyFill="1" applyBorder="1" applyAlignment="1">
      <alignment horizontal="left" vertical="center" wrapText="1"/>
    </xf>
    <xf numFmtId="0" fontId="34" fillId="7" borderId="57" xfId="0" applyFont="1" applyFill="1" applyBorder="1" applyAlignment="1">
      <alignment horizontal="left" vertical="center" wrapText="1"/>
    </xf>
    <xf numFmtId="0" fontId="36" fillId="7" borderId="57" xfId="0" applyFont="1" applyFill="1" applyBorder="1" applyAlignment="1">
      <alignment horizontal="center" vertical="center" wrapText="1"/>
    </xf>
    <xf numFmtId="0" fontId="0" fillId="7" borderId="57" xfId="0" applyFill="1" applyBorder="1" applyAlignment="1">
      <alignment horizontal="left"/>
    </xf>
    <xf numFmtId="0" fontId="0" fillId="7" borderId="57" xfId="0" applyFill="1" applyBorder="1" applyAlignment="1">
      <alignment horizontal="center"/>
    </xf>
    <xf numFmtId="0" fontId="0" fillId="0" borderId="0" xfId="0" applyAlignment="1">
      <alignment horizontal="left"/>
    </xf>
    <xf numFmtId="0" fontId="24" fillId="0" borderId="0" xfId="0" applyFont="1" applyAlignment="1">
      <alignment horizontal="left" vertical="center" wrapText="1"/>
    </xf>
    <xf numFmtId="0" fontId="24" fillId="18" borderId="57" xfId="0" applyFont="1" applyFill="1" applyBorder="1" applyAlignment="1">
      <alignment horizontal="left" vertical="center" wrapText="1"/>
    </xf>
    <xf numFmtId="0" fontId="24" fillId="18" borderId="57" xfId="0" applyFont="1" applyFill="1" applyBorder="1" applyAlignment="1">
      <alignment horizontal="center" vertical="center" wrapText="1"/>
    </xf>
    <xf numFmtId="0" fontId="24" fillId="7" borderId="57" xfId="0" applyFont="1" applyFill="1" applyBorder="1" applyAlignment="1">
      <alignment horizontal="left"/>
    </xf>
    <xf numFmtId="0" fontId="38" fillId="7" borderId="57" xfId="0" applyFont="1" applyFill="1" applyBorder="1" applyAlignment="1">
      <alignment horizontal="left"/>
    </xf>
    <xf numFmtId="0" fontId="24" fillId="7" borderId="57" xfId="0" applyFont="1" applyFill="1" applyBorder="1" applyAlignment="1">
      <alignment horizontal="center"/>
    </xf>
    <xf numFmtId="0" fontId="40" fillId="18" borderId="57" xfId="0" applyFont="1" applyFill="1" applyBorder="1" applyAlignment="1">
      <alignment horizontal="center"/>
    </xf>
    <xf numFmtId="0" fontId="24" fillId="7" borderId="57" xfId="0" applyFont="1" applyFill="1" applyBorder="1" applyAlignment="1">
      <alignment horizontal="left" wrapText="1"/>
    </xf>
    <xf numFmtId="0" fontId="41" fillId="20" borderId="57" xfId="0" applyFont="1" applyFill="1" applyBorder="1" applyAlignment="1">
      <alignment horizontal="center" vertical="center"/>
    </xf>
    <xf numFmtId="0" fontId="43" fillId="7" borderId="57" xfId="0" applyFont="1" applyFill="1" applyBorder="1" applyAlignment="1">
      <alignment horizontal="center" vertical="center"/>
    </xf>
    <xf numFmtId="0" fontId="31" fillId="11" borderId="57" xfId="0" applyFont="1" applyFill="1" applyBorder="1" applyAlignment="1">
      <alignment horizontal="center" vertical="center" wrapText="1"/>
    </xf>
    <xf numFmtId="0" fontId="32" fillId="11" borderId="57" xfId="0" applyFont="1" applyFill="1" applyBorder="1" applyAlignment="1">
      <alignment horizontal="left" vertical="center" wrapText="1"/>
    </xf>
    <xf numFmtId="0" fontId="32" fillId="11" borderId="57" xfId="0" applyFont="1" applyFill="1" applyBorder="1" applyAlignment="1">
      <alignment horizontal="left" wrapText="1"/>
    </xf>
    <xf numFmtId="0" fontId="0" fillId="11" borderId="57" xfId="0" applyFill="1" applyBorder="1" applyAlignment="1">
      <alignment horizontal="left" vertical="center" wrapText="1"/>
    </xf>
    <xf numFmtId="0" fontId="35" fillId="18" borderId="57" xfId="0" applyFont="1" applyFill="1" applyBorder="1" applyAlignment="1">
      <alignment horizontal="left" wrapText="1"/>
    </xf>
    <xf numFmtId="0" fontId="32" fillId="18" borderId="57" xfId="0" applyFont="1" applyFill="1" applyBorder="1" applyAlignment="1">
      <alignment horizontal="left" vertical="center" wrapText="1"/>
    </xf>
    <xf numFmtId="0" fontId="24" fillId="18" borderId="57" xfId="0" applyFont="1" applyFill="1" applyBorder="1" applyAlignment="1">
      <alignment horizontal="left" wrapText="1"/>
    </xf>
    <xf numFmtId="0" fontId="32" fillId="9" borderId="57" xfId="0" applyFont="1" applyFill="1" applyBorder="1" applyAlignment="1">
      <alignment horizontal="left" vertical="center" wrapText="1"/>
    </xf>
    <xf numFmtId="0" fontId="0" fillId="9" borderId="57" xfId="0" applyFill="1" applyBorder="1" applyAlignment="1">
      <alignment horizontal="left" vertical="center" wrapText="1"/>
    </xf>
    <xf numFmtId="0" fontId="32" fillId="12" borderId="57" xfId="0" applyFont="1" applyFill="1" applyBorder="1" applyAlignment="1">
      <alignment horizontal="center" vertical="center" wrapText="1"/>
    </xf>
    <xf numFmtId="0" fontId="32" fillId="9" borderId="57" xfId="0" applyFont="1" applyFill="1" applyBorder="1" applyAlignment="1">
      <alignment horizontal="left" wrapText="1"/>
    </xf>
    <xf numFmtId="0" fontId="31" fillId="9" borderId="57" xfId="0" applyFont="1" applyFill="1" applyBorder="1" applyAlignment="1">
      <alignment horizontal="center" vertical="center" wrapText="1"/>
    </xf>
    <xf numFmtId="0" fontId="36" fillId="12" borderId="57" xfId="0" applyFont="1" applyFill="1" applyBorder="1" applyAlignment="1">
      <alignment horizontal="center" vertical="center" wrapText="1"/>
    </xf>
    <xf numFmtId="0" fontId="24" fillId="9" borderId="57" xfId="0" applyFont="1" applyFill="1" applyBorder="1" applyAlignment="1">
      <alignment horizontal="left" wrapText="1"/>
    </xf>
    <xf numFmtId="0" fontId="24" fillId="9" borderId="57" xfId="0" applyFont="1" applyFill="1" applyBorder="1" applyAlignment="1">
      <alignment horizontal="left"/>
    </xf>
    <xf numFmtId="0" fontId="0" fillId="0" borderId="57" xfId="0" applyBorder="1" applyAlignment="1">
      <alignment horizontal="center" vertical="center"/>
    </xf>
    <xf numFmtId="0" fontId="24" fillId="0" borderId="57" xfId="0" applyFont="1" applyBorder="1" applyAlignment="1">
      <alignment horizontal="left" vertical="center" wrapText="1"/>
    </xf>
    <xf numFmtId="0" fontId="47" fillId="0" borderId="57" xfId="0" applyFont="1" applyBorder="1" applyAlignment="1">
      <alignment horizontal="center" vertical="center"/>
    </xf>
    <xf numFmtId="0" fontId="24" fillId="0" borderId="57" xfId="0" applyFont="1" applyBorder="1" applyAlignment="1">
      <alignment horizontal="left"/>
    </xf>
    <xf numFmtId="0" fontId="24" fillId="0" borderId="57" xfId="0" applyFont="1" applyBorder="1" applyAlignment="1">
      <alignment horizontal="center" vertical="center" wrapText="1"/>
    </xf>
    <xf numFmtId="0" fontId="24" fillId="0" borderId="57" xfId="0" applyFont="1" applyBorder="1" applyAlignment="1">
      <alignment horizontal="center"/>
    </xf>
    <xf numFmtId="0" fontId="38" fillId="0" borderId="57" xfId="0" applyFont="1" applyBorder="1" applyAlignment="1">
      <alignment horizontal="left" wrapText="1"/>
    </xf>
    <xf numFmtId="0" fontId="24" fillId="0" borderId="57" xfId="0" applyFont="1" applyBorder="1" applyAlignment="1">
      <alignment horizontal="left" wrapText="1"/>
    </xf>
    <xf numFmtId="0" fontId="0" fillId="12" borderId="57" xfId="0" applyFill="1" applyBorder="1" applyAlignment="1">
      <alignment horizontal="center" wrapText="1"/>
    </xf>
    <xf numFmtId="0" fontId="48" fillId="0" borderId="41" xfId="0" applyFont="1" applyBorder="1" applyAlignment="1">
      <alignment horizontal="left" vertical="top"/>
    </xf>
    <xf numFmtId="0" fontId="48" fillId="0" borderId="14" xfId="0" applyFont="1" applyBorder="1" applyAlignment="1">
      <alignment horizontal="left" vertical="top"/>
    </xf>
    <xf numFmtId="0" fontId="48" fillId="0" borderId="13" xfId="0" applyFont="1" applyBorder="1" applyAlignment="1">
      <alignment horizontal="left" vertical="top"/>
    </xf>
    <xf numFmtId="0" fontId="48" fillId="0" borderId="12" xfId="0" applyFont="1" applyBorder="1" applyAlignment="1">
      <alignment horizontal="left" vertical="top"/>
    </xf>
    <xf numFmtId="0" fontId="48" fillId="0" borderId="20" xfId="0" applyFont="1" applyBorder="1" applyAlignment="1">
      <alignment horizontal="left" vertical="top"/>
    </xf>
    <xf numFmtId="0" fontId="49" fillId="0" borderId="42" xfId="0" applyFont="1" applyBorder="1" applyAlignment="1">
      <alignment horizontal="left"/>
    </xf>
    <xf numFmtId="0" fontId="48" fillId="0" borderId="36" xfId="0" applyFont="1" applyBorder="1" applyAlignment="1">
      <alignment horizontal="left"/>
    </xf>
    <xf numFmtId="0" fontId="48" fillId="0" borderId="19" xfId="0" applyFont="1" applyBorder="1" applyAlignment="1">
      <alignment horizontal="left"/>
    </xf>
    <xf numFmtId="0" fontId="45" fillId="8" borderId="30" xfId="0" applyFont="1" applyFill="1" applyBorder="1" applyAlignment="1">
      <alignment horizontal="center" vertical="center"/>
    </xf>
    <xf numFmtId="0" fontId="35" fillId="18" borderId="50" xfId="0" applyFont="1" applyFill="1" applyBorder="1" applyAlignment="1">
      <alignment horizontal="left" vertical="top"/>
    </xf>
    <xf numFmtId="0" fontId="35" fillId="18" borderId="0" xfId="0" applyFont="1" applyFill="1" applyAlignment="1">
      <alignment horizontal="left" vertical="top"/>
    </xf>
    <xf numFmtId="0" fontId="35" fillId="18" borderId="3" xfId="0" applyFont="1" applyFill="1" applyBorder="1" applyAlignment="1">
      <alignment horizontal="left" vertical="top"/>
    </xf>
    <xf numFmtId="0" fontId="35" fillId="0" borderId="50" xfId="0" applyFont="1" applyBorder="1" applyAlignment="1">
      <alignment horizontal="left" vertical="top"/>
    </xf>
    <xf numFmtId="0" fontId="35" fillId="0" borderId="0" xfId="0" applyFont="1" applyAlignment="1">
      <alignment horizontal="left" vertical="top"/>
    </xf>
    <xf numFmtId="0" fontId="35" fillId="0" borderId="3" xfId="0" applyFont="1" applyBorder="1" applyAlignment="1">
      <alignment horizontal="left" vertical="top"/>
    </xf>
    <xf numFmtId="0" fontId="35" fillId="0" borderId="45" xfId="0" applyFont="1" applyBorder="1" applyAlignment="1">
      <alignment horizontal="left" vertical="top"/>
    </xf>
    <xf numFmtId="0" fontId="35" fillId="0" borderId="4" xfId="0" applyFont="1" applyBorder="1" applyAlignment="1">
      <alignment horizontal="left" vertical="top"/>
    </xf>
    <xf numFmtId="0" fontId="35" fillId="0" borderId="5" xfId="0" applyFont="1" applyBorder="1" applyAlignment="1">
      <alignment horizontal="left" vertical="top"/>
    </xf>
    <xf numFmtId="0" fontId="31" fillId="18" borderId="50" xfId="0" applyFont="1" applyFill="1" applyBorder="1" applyAlignment="1">
      <alignment horizontal="left" vertical="top" wrapText="1"/>
    </xf>
    <xf numFmtId="0" fontId="31" fillId="18" borderId="0" xfId="0" applyFont="1" applyFill="1" applyAlignment="1">
      <alignment horizontal="left" vertical="top" wrapText="1"/>
    </xf>
    <xf numFmtId="0" fontId="31" fillId="18" borderId="3" xfId="0" applyFont="1" applyFill="1" applyBorder="1" applyAlignment="1">
      <alignment horizontal="left" vertical="top" wrapText="1"/>
    </xf>
    <xf numFmtId="0" fontId="31" fillId="0" borderId="50" xfId="0" applyFont="1" applyBorder="1" applyAlignment="1">
      <alignment horizontal="left" vertical="top" wrapText="1"/>
    </xf>
    <xf numFmtId="0" fontId="31" fillId="0" borderId="0" xfId="0" applyFont="1" applyAlignment="1">
      <alignment horizontal="left" vertical="top" wrapText="1"/>
    </xf>
    <xf numFmtId="0" fontId="31" fillId="0" borderId="3" xfId="0" applyFont="1" applyBorder="1" applyAlignment="1">
      <alignment horizontal="left" vertical="top" wrapText="1"/>
    </xf>
    <xf numFmtId="0" fontId="31" fillId="0" borderId="45" xfId="0" applyFont="1" applyBorder="1" applyAlignment="1">
      <alignment horizontal="left" vertical="top" wrapText="1"/>
    </xf>
    <xf numFmtId="0" fontId="31" fillId="0" borderId="4" xfId="0" applyFont="1" applyBorder="1" applyAlignment="1">
      <alignment horizontal="left" vertical="top" wrapText="1"/>
    </xf>
    <xf numFmtId="0" fontId="31" fillId="0" borderId="5" xfId="0" applyFont="1" applyBorder="1" applyAlignment="1">
      <alignment horizontal="left" vertical="top" wrapText="1"/>
    </xf>
    <xf numFmtId="0" fontId="62" fillId="0" borderId="0" xfId="0" applyFont="1" applyAlignment="1">
      <alignment vertical="center" wrapText="1"/>
    </xf>
    <xf numFmtId="0" fontId="63" fillId="18" borderId="0" xfId="0" applyFont="1" applyFill="1" applyAlignment="1">
      <alignment horizontal="center" vertical="center"/>
    </xf>
    <xf numFmtId="0" fontId="13" fillId="19" borderId="0" xfId="2" applyFill="1" applyAlignment="1">
      <alignment horizontal="center" vertical="center"/>
    </xf>
    <xf numFmtId="0" fontId="64" fillId="19" borderId="0" xfId="0" applyFont="1" applyFill="1" applyAlignment="1">
      <alignment horizontal="center" vertical="center" wrapText="1"/>
    </xf>
    <xf numFmtId="0" fontId="63" fillId="20" borderId="0" xfId="0" applyFont="1" applyFill="1" applyAlignment="1">
      <alignment vertical="center"/>
    </xf>
    <xf numFmtId="0" fontId="35" fillId="0" borderId="44" xfId="0" applyFont="1" applyBorder="1" applyAlignment="1">
      <alignment horizontal="left" vertical="top"/>
    </xf>
    <xf numFmtId="0" fontId="35" fillId="0" borderId="2" xfId="0" applyFont="1" applyBorder="1" applyAlignment="1">
      <alignment horizontal="left" vertical="top"/>
    </xf>
    <xf numFmtId="0" fontId="35" fillId="0" borderId="51" xfId="0" applyFont="1" applyBorder="1" applyAlignment="1">
      <alignment horizontal="left" vertical="top"/>
    </xf>
    <xf numFmtId="0" fontId="48" fillId="0" borderId="2" xfId="0" applyFont="1" applyBorder="1" applyAlignment="1">
      <alignment horizontal="left" vertical="top" wrapText="1"/>
    </xf>
    <xf numFmtId="0" fontId="48" fillId="0" borderId="51" xfId="0" applyFont="1" applyBorder="1" applyAlignment="1">
      <alignment horizontal="left" vertical="top" wrapText="1"/>
    </xf>
    <xf numFmtId="0" fontId="48" fillId="0" borderId="0" xfId="0" applyFont="1" applyAlignment="1">
      <alignment horizontal="left" vertical="top" wrapText="1"/>
    </xf>
    <xf numFmtId="0" fontId="48" fillId="0" borderId="3" xfId="0" applyFont="1" applyBorder="1" applyAlignment="1">
      <alignment horizontal="left" vertical="top" wrapText="1"/>
    </xf>
    <xf numFmtId="0" fontId="48" fillId="0" borderId="4" xfId="0" applyFont="1" applyBorder="1" applyAlignment="1">
      <alignment horizontal="left" vertical="top" wrapText="1"/>
    </xf>
    <xf numFmtId="0" fontId="48" fillId="0" borderId="5" xfId="0" applyFont="1" applyBorder="1" applyAlignment="1">
      <alignment horizontal="left" vertical="top" wrapText="1"/>
    </xf>
    <xf numFmtId="0" fontId="64" fillId="19" borderId="0" xfId="0" applyFont="1" applyFill="1" applyAlignment="1">
      <alignment horizontal="left"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11" borderId="10" xfId="0" applyFill="1" applyBorder="1" applyAlignment="1">
      <alignment horizontal="center" vertical="center" wrapText="1"/>
    </xf>
    <xf numFmtId="0" fontId="0" fillId="11" borderId="10" xfId="0" applyFill="1" applyBorder="1" applyAlignment="1">
      <alignment horizontal="center" vertical="center"/>
    </xf>
    <xf numFmtId="0" fontId="0" fillId="11" borderId="6" xfId="0" applyFill="1" applyBorder="1" applyAlignment="1">
      <alignment horizontal="center" vertical="center" wrapText="1"/>
    </xf>
    <xf numFmtId="0" fontId="0" fillId="11" borderId="6" xfId="0" applyFill="1" applyBorder="1" applyAlignment="1">
      <alignment horizontal="center" vertical="center"/>
    </xf>
    <xf numFmtId="0" fontId="0" fillId="7" borderId="57" xfId="0" applyFill="1" applyBorder="1" applyAlignment="1">
      <alignment horizontal="center" vertical="center" wrapText="1"/>
    </xf>
    <xf numFmtId="0" fontId="0" fillId="7" borderId="57" xfId="0" applyFill="1" applyBorder="1" applyAlignment="1">
      <alignment horizontal="center" vertical="center"/>
    </xf>
    <xf numFmtId="4" fontId="0" fillId="7" borderId="57" xfId="0" applyNumberFormat="1" applyFill="1"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0" fillId="21" borderId="57" xfId="0" applyFill="1" applyBorder="1" applyAlignment="1">
      <alignment horizontal="center" vertical="center" wrapText="1"/>
    </xf>
    <xf numFmtId="0" fontId="0" fillId="21" borderId="57" xfId="0" applyFill="1" applyBorder="1" applyAlignment="1">
      <alignment horizontal="center" vertical="center"/>
    </xf>
    <xf numFmtId="4" fontId="0" fillId="21" borderId="57" xfId="0" applyNumberFormat="1" applyFill="1" applyBorder="1" applyAlignment="1">
      <alignment horizontal="center" vertical="center" wrapText="1"/>
    </xf>
    <xf numFmtId="0" fontId="24" fillId="0" borderId="50" xfId="0" applyFont="1" applyBorder="1" applyAlignment="1">
      <alignment horizontal="left"/>
    </xf>
    <xf numFmtId="0" fontId="24" fillId="0" borderId="0" xfId="0" applyFont="1" applyAlignment="1">
      <alignment horizontal="left"/>
    </xf>
    <xf numFmtId="0" fontId="24" fillId="0" borderId="0" xfId="0" applyFont="1" applyAlignment="1">
      <alignment horizontal="center"/>
    </xf>
    <xf numFmtId="0" fontId="24" fillId="0" borderId="14" xfId="0" applyFont="1" applyBorder="1" applyAlignment="1">
      <alignment horizontal="left"/>
    </xf>
    <xf numFmtId="0" fontId="24" fillId="0" borderId="20" xfId="0" applyFont="1" applyBorder="1" applyAlignment="1">
      <alignment horizontal="left"/>
    </xf>
    <xf numFmtId="0" fontId="24" fillId="0" borderId="44"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51" xfId="0" applyFont="1" applyBorder="1" applyAlignment="1">
      <alignment horizontal="center" vertical="center" wrapText="1"/>
    </xf>
    <xf numFmtId="0" fontId="66" fillId="18" borderId="57" xfId="0" applyFont="1" applyFill="1" applyBorder="1" applyAlignment="1">
      <alignment horizontal="center" vertical="center" wrapText="1"/>
    </xf>
    <xf numFmtId="0" fontId="66" fillId="18" borderId="57" xfId="0" applyFont="1" applyFill="1" applyBorder="1" applyAlignment="1">
      <alignment horizontal="center" vertical="center"/>
    </xf>
    <xf numFmtId="0" fontId="24" fillId="0" borderId="36" xfId="0" applyFont="1" applyBorder="1" applyAlignment="1">
      <alignment horizontal="left"/>
    </xf>
    <xf numFmtId="0" fontId="24" fillId="0" borderId="32" xfId="0" applyFont="1" applyBorder="1" applyAlignment="1">
      <alignment horizontal="left"/>
    </xf>
    <xf numFmtId="0" fontId="25" fillId="13" borderId="9" xfId="0" applyFont="1" applyFill="1" applyBorder="1" applyAlignment="1">
      <alignment horizontal="center" vertical="center" wrapText="1"/>
    </xf>
    <xf numFmtId="0" fontId="25" fillId="13" borderId="10" xfId="0" applyFont="1" applyFill="1" applyBorder="1" applyAlignment="1">
      <alignment horizontal="center" vertical="center" wrapText="1"/>
    </xf>
    <xf numFmtId="0" fontId="0" fillId="0" borderId="46" xfId="0" applyBorder="1" applyAlignment="1">
      <alignment horizontal="center" vertical="center"/>
    </xf>
    <xf numFmtId="0" fontId="0" fillId="0" borderId="53" xfId="0" applyBorder="1" applyAlignment="1">
      <alignment horizontal="center" vertical="center"/>
    </xf>
    <xf numFmtId="0" fontId="45" fillId="4" borderId="52" xfId="0" applyFont="1" applyFill="1" applyBorder="1" applyAlignment="1">
      <alignment horizontal="center" vertical="center"/>
    </xf>
    <xf numFmtId="0" fontId="45" fillId="4" borderId="53" xfId="0" applyFont="1" applyFill="1" applyBorder="1" applyAlignment="1">
      <alignment horizontal="center" vertical="center"/>
    </xf>
    <xf numFmtId="0" fontId="45" fillId="4" borderId="54" xfId="0" applyFont="1" applyFill="1" applyBorder="1" applyAlignment="1">
      <alignment horizontal="center" vertical="center"/>
    </xf>
    <xf numFmtId="0" fontId="47" fillId="0" borderId="46" xfId="0" applyFont="1" applyBorder="1" applyAlignment="1">
      <alignment horizontal="center" vertical="center"/>
    </xf>
    <xf numFmtId="0" fontId="47" fillId="0" borderId="54" xfId="0" applyFont="1" applyBorder="1" applyAlignment="1">
      <alignment horizontal="center" vertical="center"/>
    </xf>
    <xf numFmtId="0" fontId="35" fillId="0" borderId="2" xfId="0" applyFont="1" applyBorder="1" applyAlignment="1">
      <alignment horizontal="left" vertical="top" wrapText="1"/>
    </xf>
    <xf numFmtId="0" fontId="35" fillId="0" borderId="51" xfId="0" applyFont="1" applyBorder="1" applyAlignment="1">
      <alignment horizontal="left" vertical="top" wrapText="1"/>
    </xf>
    <xf numFmtId="0" fontId="35" fillId="0" borderId="0" xfId="0" applyFont="1" applyAlignment="1">
      <alignment horizontal="left" vertical="top" wrapText="1"/>
    </xf>
    <xf numFmtId="0" fontId="35" fillId="0" borderId="3" xfId="0" applyFont="1" applyBorder="1" applyAlignment="1">
      <alignment horizontal="left" vertical="top" wrapText="1"/>
    </xf>
    <xf numFmtId="0" fontId="35" fillId="0" borderId="4" xfId="0" applyFont="1" applyBorder="1" applyAlignment="1">
      <alignment horizontal="left" vertical="top" wrapText="1"/>
    </xf>
    <xf numFmtId="0" fontId="35" fillId="0" borderId="5" xfId="0" applyFont="1" applyBorder="1" applyAlignment="1">
      <alignment horizontal="left" vertical="top" wrapText="1"/>
    </xf>
    <xf numFmtId="0" fontId="0" fillId="10" borderId="16" xfId="0" applyFill="1" applyBorder="1" applyAlignment="1">
      <alignment horizontal="center" vertical="center" wrapText="1"/>
    </xf>
    <xf numFmtId="0" fontId="0" fillId="10" borderId="16" xfId="0" applyFill="1" applyBorder="1" applyAlignment="1">
      <alignment horizontal="center" vertical="center"/>
    </xf>
    <xf numFmtId="0" fontId="24" fillId="0" borderId="3" xfId="0" applyFont="1" applyBorder="1" applyAlignment="1">
      <alignment horizontal="left"/>
    </xf>
    <xf numFmtId="0" fontId="67" fillId="18" borderId="57" xfId="0" applyFont="1" applyFill="1" applyBorder="1" applyAlignment="1">
      <alignment horizontal="center" vertical="center" wrapText="1"/>
    </xf>
    <xf numFmtId="0" fontId="67" fillId="18" borderId="57" xfId="0" applyFont="1" applyFill="1" applyBorder="1" applyAlignment="1">
      <alignment horizontal="center" vertical="center"/>
    </xf>
    <xf numFmtId="0" fontId="24" fillId="0" borderId="18" xfId="0" applyFont="1" applyBorder="1" applyAlignment="1">
      <alignment horizontal="left"/>
    </xf>
    <xf numFmtId="0" fontId="24" fillId="0" borderId="33" xfId="0" applyFont="1" applyBorder="1" applyAlignment="1">
      <alignment horizontal="left"/>
    </xf>
    <xf numFmtId="0" fontId="24" fillId="0" borderId="35" xfId="0" applyFont="1" applyBorder="1" applyAlignment="1">
      <alignment horizontal="left"/>
    </xf>
    <xf numFmtId="0" fontId="38" fillId="0" borderId="18" xfId="0" applyFont="1" applyBorder="1" applyAlignment="1">
      <alignment horizontal="center"/>
    </xf>
    <xf numFmtId="0" fontId="24" fillId="0" borderId="33" xfId="0" applyFont="1" applyBorder="1" applyAlignment="1">
      <alignment horizontal="center"/>
    </xf>
    <xf numFmtId="0" fontId="24" fillId="0" borderId="35" xfId="0" applyFont="1" applyBorder="1" applyAlignment="1">
      <alignment horizontal="center"/>
    </xf>
    <xf numFmtId="0" fontId="45" fillId="8" borderId="52" xfId="0" applyFont="1" applyFill="1" applyBorder="1" applyAlignment="1">
      <alignment horizontal="center" vertical="center"/>
    </xf>
    <xf numFmtId="0" fontId="45" fillId="8" borderId="54" xfId="0" applyFont="1" applyFill="1" applyBorder="1" applyAlignment="1">
      <alignment horizontal="center" vertical="center"/>
    </xf>
    <xf numFmtId="0" fontId="24" fillId="4" borderId="46" xfId="0" applyFont="1" applyFill="1" applyBorder="1" applyAlignment="1">
      <alignment horizontal="center"/>
    </xf>
    <xf numFmtId="0" fontId="24" fillId="4" borderId="54" xfId="0" applyFont="1" applyFill="1" applyBorder="1" applyAlignment="1">
      <alignment horizontal="center"/>
    </xf>
    <xf numFmtId="0" fontId="47" fillId="0" borderId="55" xfId="0" applyFont="1" applyBorder="1" applyAlignment="1">
      <alignment horizontal="center" vertical="center"/>
    </xf>
    <xf numFmtId="0" fontId="47" fillId="0" borderId="21" xfId="0" applyFont="1" applyBorder="1" applyAlignment="1">
      <alignment horizontal="center" vertical="center"/>
    </xf>
    <xf numFmtId="0" fontId="47" fillId="0" borderId="17" xfId="0" applyFont="1" applyBorder="1" applyAlignment="1">
      <alignment horizontal="center" vertical="center"/>
    </xf>
    <xf numFmtId="0" fontId="60" fillId="19" borderId="0" xfId="2" applyFont="1" applyFill="1" applyAlignment="1">
      <alignment horizontal="center" vertical="center" wrapText="1"/>
    </xf>
    <xf numFmtId="0" fontId="68" fillId="0" borderId="0" xfId="0" applyFont="1" applyAlignment="1">
      <alignment vertical="center" wrapText="1"/>
    </xf>
    <xf numFmtId="0" fontId="69" fillId="18" borderId="0" xfId="0" applyFont="1" applyFill="1" applyAlignment="1">
      <alignment horizontal="center" vertical="center" wrapText="1"/>
    </xf>
    <xf numFmtId="0" fontId="70" fillId="19" borderId="0" xfId="0" applyFont="1" applyFill="1" applyAlignment="1">
      <alignment horizontal="left" vertical="center" wrapText="1"/>
    </xf>
    <xf numFmtId="0" fontId="78" fillId="19" borderId="57" xfId="0" applyFont="1" applyFill="1" applyBorder="1" applyAlignment="1">
      <alignment horizontal="center" vertical="center" wrapText="1"/>
    </xf>
    <xf numFmtId="0" fontId="73" fillId="0" borderId="0" xfId="0" applyFont="1" applyAlignment="1">
      <alignment vertical="center" wrapText="1"/>
    </xf>
    <xf numFmtId="0" fontId="76" fillId="19" borderId="0" xfId="0" applyFont="1" applyFill="1" applyAlignment="1">
      <alignment horizontal="center" vertical="center" wrapText="1"/>
    </xf>
    <xf numFmtId="0" fontId="0" fillId="0" borderId="57" xfId="0" applyBorder="1" applyAlignment="1">
      <alignment horizontal="center" vertical="center" wrapText="1"/>
    </xf>
    <xf numFmtId="0" fontId="33" fillId="0" borderId="57" xfId="0" applyFont="1" applyBorder="1" applyAlignment="1">
      <alignment vertical="center" wrapText="1"/>
    </xf>
    <xf numFmtId="0" fontId="33" fillId="0" borderId="57" xfId="0" applyFont="1" applyBorder="1" applyAlignment="1">
      <alignment horizontal="left" vertical="center" wrapText="1"/>
    </xf>
    <xf numFmtId="0" fontId="77" fillId="19" borderId="57" xfId="0" applyFont="1" applyFill="1" applyBorder="1" applyAlignment="1">
      <alignment horizontal="center" vertical="center" wrapText="1"/>
    </xf>
    <xf numFmtId="173" fontId="33" fillId="7" borderId="57" xfId="0" applyNumberFormat="1" applyFont="1" applyFill="1" applyBorder="1" applyAlignment="1">
      <alignment horizontal="center" vertical="center" wrapText="1"/>
    </xf>
    <xf numFmtId="173" fontId="33" fillId="21" borderId="57" xfId="0" applyNumberFormat="1" applyFont="1" applyFill="1" applyBorder="1" applyAlignment="1">
      <alignment horizontal="center" vertical="center" wrapText="1"/>
    </xf>
    <xf numFmtId="0" fontId="33" fillId="7" borderId="57" xfId="0" applyFont="1" applyFill="1" applyBorder="1" applyAlignment="1">
      <alignment horizontal="center" vertical="center" wrapText="1"/>
    </xf>
    <xf numFmtId="0" fontId="33" fillId="21" borderId="57" xfId="0" applyFont="1" applyFill="1" applyBorder="1" applyAlignment="1">
      <alignment horizontal="center" vertical="center" wrapText="1"/>
    </xf>
    <xf numFmtId="0" fontId="24" fillId="20" borderId="57" xfId="0" applyFont="1" applyFill="1" applyBorder="1" applyAlignment="1">
      <alignment horizontal="center" vertical="center" wrapText="1"/>
    </xf>
    <xf numFmtId="0" fontId="0" fillId="0" borderId="57" xfId="0" applyBorder="1" applyAlignment="1">
      <alignment vertical="center" wrapText="1"/>
    </xf>
  </cellXfs>
  <cellStyles count="3">
    <cellStyle name="Hipervínculo" xfId="2" builtinId="8"/>
    <cellStyle name="Millares 2" xfId="1" xr:uid="{00000000-0005-0000-0000-000006000000}"/>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2060"/>
      <rgbColor rgb="FF808000"/>
      <rgbColor rgb="FF800080"/>
      <rgbColor rgb="FF008080"/>
      <rgbColor rgb="FFC0C0C0"/>
      <rgbColor rgb="FF808080"/>
      <rgbColor rgb="FF9999FF"/>
      <rgbColor rgb="FF7030A0"/>
      <rgbColor rgb="FFFFF2CC"/>
      <rgbColor rgb="FFF2F2F2"/>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E7E6E6"/>
      <rgbColor rgb="FFE2F0D9"/>
      <rgbColor rgb="FFFFFF99"/>
      <rgbColor rgb="FF99CCFF"/>
      <rgbColor rgb="FFFF99CC"/>
      <rgbColor rgb="FFCC99FF"/>
      <rgbColor rgb="FFFFCC99"/>
      <rgbColor rgb="FF2E75B6"/>
      <rgbColor rgb="FF33CCCC"/>
      <rgbColor rgb="FF99CC00"/>
      <rgbColor rgb="FFFFC000"/>
      <rgbColor rgb="FFFF9900"/>
      <rgbColor rgb="FFC55A11"/>
      <rgbColor rgb="FF666699"/>
      <rgbColor rgb="FF969696"/>
      <rgbColor rgb="FF002465"/>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mruColors>
      <color rgb="FF003366"/>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10</xdr:col>
      <xdr:colOff>28575</xdr:colOff>
      <xdr:row>16</xdr:row>
      <xdr:rowOff>74930</xdr:rowOff>
    </xdr:to>
    <xdr:grpSp>
      <xdr:nvGrpSpPr>
        <xdr:cNvPr id="2" name="Grupo 1">
          <a:extLst>
            <a:ext uri="{FF2B5EF4-FFF2-40B4-BE49-F238E27FC236}">
              <a16:creationId xmlns:a16="http://schemas.microsoft.com/office/drawing/2014/main" id="{98A2E43F-629E-2E52-4460-8BC3D9847F1E}"/>
            </a:ext>
          </a:extLst>
        </xdr:cNvPr>
        <xdr:cNvGrpSpPr/>
      </xdr:nvGrpSpPr>
      <xdr:grpSpPr>
        <a:xfrm>
          <a:off x="0" y="1905000"/>
          <a:ext cx="7215620" cy="1217930"/>
          <a:chOff x="0" y="0"/>
          <a:chExt cx="7068820" cy="1010920"/>
        </a:xfrm>
      </xdr:grpSpPr>
      <xdr:pic>
        <xdr:nvPicPr>
          <xdr:cNvPr id="3" name="Imagen 2">
            <a:extLst>
              <a:ext uri="{FF2B5EF4-FFF2-40B4-BE49-F238E27FC236}">
                <a16:creationId xmlns:a16="http://schemas.microsoft.com/office/drawing/2014/main" id="{0D6CE1CE-55EB-45D2-9BD5-5917AE7AE8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400040" cy="1010920"/>
          </a:xfrm>
          <a:prstGeom prst="rect">
            <a:avLst/>
          </a:prstGeom>
          <a:noFill/>
          <a:ln>
            <a:noFill/>
          </a:ln>
        </xdr:spPr>
      </xdr:pic>
      <xdr:pic>
        <xdr:nvPicPr>
          <xdr:cNvPr id="4" name="Imagen 3">
            <a:extLst>
              <a:ext uri="{FF2B5EF4-FFF2-40B4-BE49-F238E27FC236}">
                <a16:creationId xmlns:a16="http://schemas.microsoft.com/office/drawing/2014/main" id="{F32B604E-E48B-DE06-9F3A-C6EA4372B1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00675" y="0"/>
            <a:ext cx="1668145" cy="1010920"/>
          </a:xfrm>
          <a:prstGeom prst="rect">
            <a:avLst/>
          </a:prstGeom>
          <a:noFill/>
          <a:ln>
            <a:noFill/>
          </a:ln>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95249</xdr:colOff>
      <xdr:row>0</xdr:row>
      <xdr:rowOff>78922</xdr:rowOff>
    </xdr:from>
    <xdr:to>
      <xdr:col>10</xdr:col>
      <xdr:colOff>375594</xdr:colOff>
      <xdr:row>3</xdr:row>
      <xdr:rowOff>14981</xdr:rowOff>
    </xdr:to>
    <xdr:pic>
      <xdr:nvPicPr>
        <xdr:cNvPr id="2" name="Imagen 1">
          <a:extLst>
            <a:ext uri="{FF2B5EF4-FFF2-40B4-BE49-F238E27FC236}">
              <a16:creationId xmlns:a16="http://schemas.microsoft.com/office/drawing/2014/main" id="{05E6C069-6202-412C-AE7B-2B3D41F4F13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12355285" y="78922"/>
          <a:ext cx="851845" cy="425916"/>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381000</xdr:colOff>
      <xdr:row>0</xdr:row>
      <xdr:rowOff>38100</xdr:rowOff>
    </xdr:from>
    <xdr:to>
      <xdr:col>13</xdr:col>
      <xdr:colOff>1223320</xdr:colOff>
      <xdr:row>3</xdr:row>
      <xdr:rowOff>32670</xdr:rowOff>
    </xdr:to>
    <xdr:pic>
      <xdr:nvPicPr>
        <xdr:cNvPr id="2" name="Imagen 1">
          <a:extLst>
            <a:ext uri="{FF2B5EF4-FFF2-40B4-BE49-F238E27FC236}">
              <a16:creationId xmlns:a16="http://schemas.microsoft.com/office/drawing/2014/main" id="{E167C069-D3D3-4B4B-AFD8-B841744657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19030950" y="38100"/>
          <a:ext cx="842320" cy="50892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297656</xdr:colOff>
      <xdr:row>1</xdr:row>
      <xdr:rowOff>12110</xdr:rowOff>
    </xdr:from>
    <xdr:to>
      <xdr:col>14</xdr:col>
      <xdr:colOff>49137</xdr:colOff>
      <xdr:row>3</xdr:row>
      <xdr:rowOff>78028</xdr:rowOff>
    </xdr:to>
    <xdr:pic>
      <xdr:nvPicPr>
        <xdr:cNvPr id="2" name="Imagen 1">
          <a:extLst>
            <a:ext uri="{FF2B5EF4-FFF2-40B4-BE49-F238E27FC236}">
              <a16:creationId xmlns:a16="http://schemas.microsoft.com/office/drawing/2014/main" id="{5450BD81-CB3C-4BFA-925F-FAAE78107AB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9858375" y="202610"/>
          <a:ext cx="739700" cy="446918"/>
        </a:xfrm>
        <a:prstGeom prst="rect">
          <a:avLst/>
        </a:prstGeom>
        <a:noFill/>
        <a:ln>
          <a:noFill/>
        </a:ln>
        <a:extLst>
          <a:ext uri="{53640926-AAD7-44D8-BBD7-CCE9431645EC}">
            <a14:shadowObscured xmlns:a14="http://schemas.microsoft.com/office/drawing/2010/main"/>
          </a:ext>
        </a:extLst>
      </xdr:spPr>
    </xdr:pic>
    <xdr:clientData/>
  </xdr:twoCellAnchor>
  <xdr:twoCellAnchor>
    <xdr:from>
      <xdr:col>1</xdr:col>
      <xdr:colOff>1179286</xdr:colOff>
      <xdr:row>35</xdr:row>
      <xdr:rowOff>108856</xdr:rowOff>
    </xdr:from>
    <xdr:to>
      <xdr:col>1</xdr:col>
      <xdr:colOff>2512786</xdr:colOff>
      <xdr:row>37</xdr:row>
      <xdr:rowOff>226785</xdr:rowOff>
    </xdr:to>
    <xdr:sp macro="" textlink="">
      <xdr:nvSpPr>
        <xdr:cNvPr id="3" name="CuadroTexto 2">
          <a:extLst>
            <a:ext uri="{FF2B5EF4-FFF2-40B4-BE49-F238E27FC236}">
              <a16:creationId xmlns:a16="http://schemas.microsoft.com/office/drawing/2014/main" id="{F7BD0D11-7F4D-4C1E-80C7-66DBE6B4E722}"/>
            </a:ext>
          </a:extLst>
        </xdr:cNvPr>
        <xdr:cNvSpPr txBox="1"/>
      </xdr:nvSpPr>
      <xdr:spPr>
        <a:xfrm>
          <a:off x="1445986" y="6633481"/>
          <a:ext cx="1047750" cy="45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100" b="1"/>
            <a:t>VoBo Resp. Control                                                                                                   Calidad           </a:t>
          </a:r>
        </a:p>
      </xdr:txBody>
    </xdr:sp>
    <xdr:clientData/>
  </xdr:twoCellAnchor>
  <xdr:twoCellAnchor>
    <xdr:from>
      <xdr:col>4</xdr:col>
      <xdr:colOff>16329</xdr:colOff>
      <xdr:row>35</xdr:row>
      <xdr:rowOff>106590</xdr:rowOff>
    </xdr:from>
    <xdr:to>
      <xdr:col>6</xdr:col>
      <xdr:colOff>83004</xdr:colOff>
      <xdr:row>37</xdr:row>
      <xdr:rowOff>227694</xdr:rowOff>
    </xdr:to>
    <xdr:sp macro="" textlink="">
      <xdr:nvSpPr>
        <xdr:cNvPr id="4" name="CuadroTexto 3">
          <a:extLst>
            <a:ext uri="{FF2B5EF4-FFF2-40B4-BE49-F238E27FC236}">
              <a16:creationId xmlns:a16="http://schemas.microsoft.com/office/drawing/2014/main" id="{6F64D784-506F-4297-B766-24561ADB0815}"/>
            </a:ext>
          </a:extLst>
        </xdr:cNvPr>
        <xdr:cNvSpPr txBox="1"/>
      </xdr:nvSpPr>
      <xdr:spPr>
        <a:xfrm>
          <a:off x="2511879" y="6631215"/>
          <a:ext cx="1381125" cy="45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100" b="1"/>
            <a:t>VoBo Resp. Planta</a:t>
          </a:r>
        </a:p>
      </xdr:txBody>
    </xdr:sp>
    <xdr:clientData/>
  </xdr:twoCellAnchor>
  <xdr:twoCellAnchor>
    <xdr:from>
      <xdr:col>0</xdr:col>
      <xdr:colOff>0</xdr:colOff>
      <xdr:row>35</xdr:row>
      <xdr:rowOff>142873</xdr:rowOff>
    </xdr:from>
    <xdr:to>
      <xdr:col>1</xdr:col>
      <xdr:colOff>1055007</xdr:colOff>
      <xdr:row>37</xdr:row>
      <xdr:rowOff>267152</xdr:rowOff>
    </xdr:to>
    <xdr:sp macro="" textlink="">
      <xdr:nvSpPr>
        <xdr:cNvPr id="5" name="CuadroTexto 4">
          <a:extLst>
            <a:ext uri="{FF2B5EF4-FFF2-40B4-BE49-F238E27FC236}">
              <a16:creationId xmlns:a16="http://schemas.microsoft.com/office/drawing/2014/main" id="{6A2CCA80-6C2D-41DF-A50A-44FA7F7453AB}"/>
            </a:ext>
          </a:extLst>
        </xdr:cNvPr>
        <xdr:cNvSpPr txBox="1"/>
      </xdr:nvSpPr>
      <xdr:spPr>
        <a:xfrm>
          <a:off x="0" y="6657973"/>
          <a:ext cx="1321707" cy="46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100" b="1"/>
            <a:t>Firma Responsable                                                                                    de Planilla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955844</xdr:colOff>
      <xdr:row>15</xdr:row>
      <xdr:rowOff>11524</xdr:rowOff>
    </xdr:from>
    <xdr:to>
      <xdr:col>2</xdr:col>
      <xdr:colOff>1150078</xdr:colOff>
      <xdr:row>15</xdr:row>
      <xdr:rowOff>161131</xdr:rowOff>
    </xdr:to>
    <xdr:sp macro="" textlink="">
      <xdr:nvSpPr>
        <xdr:cNvPr id="2" name="Elipse 1">
          <a:extLst>
            <a:ext uri="{FF2B5EF4-FFF2-40B4-BE49-F238E27FC236}">
              <a16:creationId xmlns:a16="http://schemas.microsoft.com/office/drawing/2014/main" id="{28FEC17E-1346-49E9-BAE8-17EB607378F6}"/>
            </a:ext>
          </a:extLst>
        </xdr:cNvPr>
        <xdr:cNvSpPr/>
      </xdr:nvSpPr>
      <xdr:spPr>
        <a:xfrm>
          <a:off x="2298869" y="243087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14</xdr:row>
      <xdr:rowOff>10498</xdr:rowOff>
    </xdr:from>
    <xdr:to>
      <xdr:col>5</xdr:col>
      <xdr:colOff>296169</xdr:colOff>
      <xdr:row>14</xdr:row>
      <xdr:rowOff>160105</xdr:rowOff>
    </xdr:to>
    <xdr:sp macro="" textlink="">
      <xdr:nvSpPr>
        <xdr:cNvPr id="3" name="Elipse 2">
          <a:extLst>
            <a:ext uri="{FF2B5EF4-FFF2-40B4-BE49-F238E27FC236}">
              <a16:creationId xmlns:a16="http://schemas.microsoft.com/office/drawing/2014/main" id="{A62580D8-F443-42DE-81F1-37DE75D6BB14}"/>
            </a:ext>
          </a:extLst>
        </xdr:cNvPr>
        <xdr:cNvSpPr/>
      </xdr:nvSpPr>
      <xdr:spPr>
        <a:xfrm>
          <a:off x="4959685" y="2248873"/>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15</xdr:row>
      <xdr:rowOff>20289</xdr:rowOff>
    </xdr:from>
    <xdr:to>
      <xdr:col>5</xdr:col>
      <xdr:colOff>301183</xdr:colOff>
      <xdr:row>15</xdr:row>
      <xdr:rowOff>169896</xdr:rowOff>
    </xdr:to>
    <xdr:sp macro="" textlink="">
      <xdr:nvSpPr>
        <xdr:cNvPr id="4" name="Elipse 3">
          <a:extLst>
            <a:ext uri="{FF2B5EF4-FFF2-40B4-BE49-F238E27FC236}">
              <a16:creationId xmlns:a16="http://schemas.microsoft.com/office/drawing/2014/main" id="{AC008AA3-2E1E-493B-8787-BF60C514965E}"/>
            </a:ext>
          </a:extLst>
        </xdr:cNvPr>
        <xdr:cNvSpPr/>
      </xdr:nvSpPr>
      <xdr:spPr>
        <a:xfrm>
          <a:off x="4964699" y="243963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editAs="oneCell">
    <xdr:from>
      <xdr:col>10</xdr:col>
      <xdr:colOff>417222</xdr:colOff>
      <xdr:row>1</xdr:row>
      <xdr:rowOff>114300</xdr:rowOff>
    </xdr:from>
    <xdr:to>
      <xdr:col>11</xdr:col>
      <xdr:colOff>452437</xdr:colOff>
      <xdr:row>3</xdr:row>
      <xdr:rowOff>142924</xdr:rowOff>
    </xdr:to>
    <xdr:pic>
      <xdr:nvPicPr>
        <xdr:cNvPr id="5" name="Imagen 4">
          <a:extLst>
            <a:ext uri="{FF2B5EF4-FFF2-40B4-BE49-F238E27FC236}">
              <a16:creationId xmlns:a16="http://schemas.microsoft.com/office/drawing/2014/main" id="{F22DFE8C-1F14-4022-8EA1-64A3604E94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8837322" y="304800"/>
          <a:ext cx="616240" cy="409624"/>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955844</xdr:colOff>
      <xdr:row>18</xdr:row>
      <xdr:rowOff>11524</xdr:rowOff>
    </xdr:from>
    <xdr:to>
      <xdr:col>2</xdr:col>
      <xdr:colOff>1150078</xdr:colOff>
      <xdr:row>18</xdr:row>
      <xdr:rowOff>161131</xdr:rowOff>
    </xdr:to>
    <xdr:sp macro="" textlink="">
      <xdr:nvSpPr>
        <xdr:cNvPr id="6" name="Elipse 5">
          <a:extLst>
            <a:ext uri="{FF2B5EF4-FFF2-40B4-BE49-F238E27FC236}">
              <a16:creationId xmlns:a16="http://schemas.microsoft.com/office/drawing/2014/main" id="{2D02D44D-2166-4C0B-8C34-CDF738EF08BD}"/>
            </a:ext>
          </a:extLst>
        </xdr:cNvPr>
        <xdr:cNvSpPr/>
      </xdr:nvSpPr>
      <xdr:spPr>
        <a:xfrm>
          <a:off x="2298869" y="282139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17</xdr:row>
      <xdr:rowOff>10498</xdr:rowOff>
    </xdr:from>
    <xdr:to>
      <xdr:col>5</xdr:col>
      <xdr:colOff>296169</xdr:colOff>
      <xdr:row>17</xdr:row>
      <xdr:rowOff>160105</xdr:rowOff>
    </xdr:to>
    <xdr:sp macro="" textlink="">
      <xdr:nvSpPr>
        <xdr:cNvPr id="7" name="Elipse 6">
          <a:extLst>
            <a:ext uri="{FF2B5EF4-FFF2-40B4-BE49-F238E27FC236}">
              <a16:creationId xmlns:a16="http://schemas.microsoft.com/office/drawing/2014/main" id="{30A299FB-AFC0-40EF-830F-4987B8280A84}"/>
            </a:ext>
          </a:extLst>
        </xdr:cNvPr>
        <xdr:cNvSpPr/>
      </xdr:nvSpPr>
      <xdr:spPr>
        <a:xfrm>
          <a:off x="4959685" y="2639398"/>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18</xdr:row>
      <xdr:rowOff>20289</xdr:rowOff>
    </xdr:from>
    <xdr:to>
      <xdr:col>5</xdr:col>
      <xdr:colOff>301183</xdr:colOff>
      <xdr:row>18</xdr:row>
      <xdr:rowOff>169896</xdr:rowOff>
    </xdr:to>
    <xdr:sp macro="" textlink="">
      <xdr:nvSpPr>
        <xdr:cNvPr id="8" name="Elipse 7">
          <a:extLst>
            <a:ext uri="{FF2B5EF4-FFF2-40B4-BE49-F238E27FC236}">
              <a16:creationId xmlns:a16="http://schemas.microsoft.com/office/drawing/2014/main" id="{BE18BD5B-8A47-4408-BC49-3C9D6973B499}"/>
            </a:ext>
          </a:extLst>
        </xdr:cNvPr>
        <xdr:cNvSpPr/>
      </xdr:nvSpPr>
      <xdr:spPr>
        <a:xfrm>
          <a:off x="4964699" y="283016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21</xdr:row>
      <xdr:rowOff>11524</xdr:rowOff>
    </xdr:from>
    <xdr:to>
      <xdr:col>2</xdr:col>
      <xdr:colOff>1150078</xdr:colOff>
      <xdr:row>21</xdr:row>
      <xdr:rowOff>161131</xdr:rowOff>
    </xdr:to>
    <xdr:sp macro="" textlink="">
      <xdr:nvSpPr>
        <xdr:cNvPr id="9" name="Elipse 8">
          <a:extLst>
            <a:ext uri="{FF2B5EF4-FFF2-40B4-BE49-F238E27FC236}">
              <a16:creationId xmlns:a16="http://schemas.microsoft.com/office/drawing/2014/main" id="{B5235724-BF55-4E24-8595-E88878412E3F}"/>
            </a:ext>
          </a:extLst>
        </xdr:cNvPr>
        <xdr:cNvSpPr/>
      </xdr:nvSpPr>
      <xdr:spPr>
        <a:xfrm>
          <a:off x="2298869" y="323097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20</xdr:row>
      <xdr:rowOff>10498</xdr:rowOff>
    </xdr:from>
    <xdr:to>
      <xdr:col>5</xdr:col>
      <xdr:colOff>296169</xdr:colOff>
      <xdr:row>20</xdr:row>
      <xdr:rowOff>160105</xdr:rowOff>
    </xdr:to>
    <xdr:sp macro="" textlink="">
      <xdr:nvSpPr>
        <xdr:cNvPr id="10" name="Elipse 9">
          <a:extLst>
            <a:ext uri="{FF2B5EF4-FFF2-40B4-BE49-F238E27FC236}">
              <a16:creationId xmlns:a16="http://schemas.microsoft.com/office/drawing/2014/main" id="{6701857E-F03B-4C33-B806-C6B38D3A1923}"/>
            </a:ext>
          </a:extLst>
        </xdr:cNvPr>
        <xdr:cNvSpPr/>
      </xdr:nvSpPr>
      <xdr:spPr>
        <a:xfrm>
          <a:off x="4959685" y="3048973"/>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21</xdr:row>
      <xdr:rowOff>20289</xdr:rowOff>
    </xdr:from>
    <xdr:to>
      <xdr:col>5</xdr:col>
      <xdr:colOff>301183</xdr:colOff>
      <xdr:row>21</xdr:row>
      <xdr:rowOff>169896</xdr:rowOff>
    </xdr:to>
    <xdr:sp macro="" textlink="">
      <xdr:nvSpPr>
        <xdr:cNvPr id="11" name="Elipse 10">
          <a:extLst>
            <a:ext uri="{FF2B5EF4-FFF2-40B4-BE49-F238E27FC236}">
              <a16:creationId xmlns:a16="http://schemas.microsoft.com/office/drawing/2014/main" id="{0C116967-00BE-460C-91D5-4F9AF2E90A35}"/>
            </a:ext>
          </a:extLst>
        </xdr:cNvPr>
        <xdr:cNvSpPr/>
      </xdr:nvSpPr>
      <xdr:spPr>
        <a:xfrm>
          <a:off x="4964699" y="323973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24</xdr:row>
      <xdr:rowOff>11524</xdr:rowOff>
    </xdr:from>
    <xdr:to>
      <xdr:col>2</xdr:col>
      <xdr:colOff>1150078</xdr:colOff>
      <xdr:row>24</xdr:row>
      <xdr:rowOff>161131</xdr:rowOff>
    </xdr:to>
    <xdr:sp macro="" textlink="">
      <xdr:nvSpPr>
        <xdr:cNvPr id="12" name="Elipse 11">
          <a:extLst>
            <a:ext uri="{FF2B5EF4-FFF2-40B4-BE49-F238E27FC236}">
              <a16:creationId xmlns:a16="http://schemas.microsoft.com/office/drawing/2014/main" id="{44397093-6D28-49CF-A302-87C3F58FF300}"/>
            </a:ext>
          </a:extLst>
        </xdr:cNvPr>
        <xdr:cNvSpPr/>
      </xdr:nvSpPr>
      <xdr:spPr>
        <a:xfrm>
          <a:off x="2298869" y="364054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23</xdr:row>
      <xdr:rowOff>10498</xdr:rowOff>
    </xdr:from>
    <xdr:to>
      <xdr:col>5</xdr:col>
      <xdr:colOff>296169</xdr:colOff>
      <xdr:row>23</xdr:row>
      <xdr:rowOff>160105</xdr:rowOff>
    </xdr:to>
    <xdr:sp macro="" textlink="">
      <xdr:nvSpPr>
        <xdr:cNvPr id="13" name="Elipse 12">
          <a:extLst>
            <a:ext uri="{FF2B5EF4-FFF2-40B4-BE49-F238E27FC236}">
              <a16:creationId xmlns:a16="http://schemas.microsoft.com/office/drawing/2014/main" id="{28178934-BCBF-4553-843E-5769462DD46E}"/>
            </a:ext>
          </a:extLst>
        </xdr:cNvPr>
        <xdr:cNvSpPr/>
      </xdr:nvSpPr>
      <xdr:spPr>
        <a:xfrm>
          <a:off x="4959685" y="3458548"/>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24</xdr:row>
      <xdr:rowOff>20289</xdr:rowOff>
    </xdr:from>
    <xdr:to>
      <xdr:col>5</xdr:col>
      <xdr:colOff>301183</xdr:colOff>
      <xdr:row>24</xdr:row>
      <xdr:rowOff>169896</xdr:rowOff>
    </xdr:to>
    <xdr:sp macro="" textlink="">
      <xdr:nvSpPr>
        <xdr:cNvPr id="14" name="Elipse 13">
          <a:extLst>
            <a:ext uri="{FF2B5EF4-FFF2-40B4-BE49-F238E27FC236}">
              <a16:creationId xmlns:a16="http://schemas.microsoft.com/office/drawing/2014/main" id="{D017D9DC-D10E-4CE4-93F7-46D677BAAB46}"/>
            </a:ext>
          </a:extLst>
        </xdr:cNvPr>
        <xdr:cNvSpPr/>
      </xdr:nvSpPr>
      <xdr:spPr>
        <a:xfrm>
          <a:off x="4964699" y="364931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27</xdr:row>
      <xdr:rowOff>11524</xdr:rowOff>
    </xdr:from>
    <xdr:to>
      <xdr:col>2</xdr:col>
      <xdr:colOff>1150078</xdr:colOff>
      <xdr:row>27</xdr:row>
      <xdr:rowOff>161131</xdr:rowOff>
    </xdr:to>
    <xdr:sp macro="" textlink="">
      <xdr:nvSpPr>
        <xdr:cNvPr id="15" name="Elipse 14">
          <a:extLst>
            <a:ext uri="{FF2B5EF4-FFF2-40B4-BE49-F238E27FC236}">
              <a16:creationId xmlns:a16="http://schemas.microsoft.com/office/drawing/2014/main" id="{A8A4AA61-C2E6-456A-BB84-C537497E6DA1}"/>
            </a:ext>
          </a:extLst>
        </xdr:cNvPr>
        <xdr:cNvSpPr/>
      </xdr:nvSpPr>
      <xdr:spPr>
        <a:xfrm>
          <a:off x="2298869" y="405012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26</xdr:row>
      <xdr:rowOff>10498</xdr:rowOff>
    </xdr:from>
    <xdr:to>
      <xdr:col>5</xdr:col>
      <xdr:colOff>296169</xdr:colOff>
      <xdr:row>26</xdr:row>
      <xdr:rowOff>160105</xdr:rowOff>
    </xdr:to>
    <xdr:sp macro="" textlink="">
      <xdr:nvSpPr>
        <xdr:cNvPr id="16" name="Elipse 15">
          <a:extLst>
            <a:ext uri="{FF2B5EF4-FFF2-40B4-BE49-F238E27FC236}">
              <a16:creationId xmlns:a16="http://schemas.microsoft.com/office/drawing/2014/main" id="{6A22AC76-0606-481A-A8A8-67658072B403}"/>
            </a:ext>
          </a:extLst>
        </xdr:cNvPr>
        <xdr:cNvSpPr/>
      </xdr:nvSpPr>
      <xdr:spPr>
        <a:xfrm>
          <a:off x="4959685" y="3868123"/>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27</xdr:row>
      <xdr:rowOff>20289</xdr:rowOff>
    </xdr:from>
    <xdr:to>
      <xdr:col>5</xdr:col>
      <xdr:colOff>301183</xdr:colOff>
      <xdr:row>27</xdr:row>
      <xdr:rowOff>169896</xdr:rowOff>
    </xdr:to>
    <xdr:sp macro="" textlink="">
      <xdr:nvSpPr>
        <xdr:cNvPr id="17" name="Elipse 16">
          <a:extLst>
            <a:ext uri="{FF2B5EF4-FFF2-40B4-BE49-F238E27FC236}">
              <a16:creationId xmlns:a16="http://schemas.microsoft.com/office/drawing/2014/main" id="{0A65F12D-DBC4-43A8-B246-F002B11B42BC}"/>
            </a:ext>
          </a:extLst>
        </xdr:cNvPr>
        <xdr:cNvSpPr/>
      </xdr:nvSpPr>
      <xdr:spPr>
        <a:xfrm>
          <a:off x="4964699" y="405888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30</xdr:row>
      <xdr:rowOff>11524</xdr:rowOff>
    </xdr:from>
    <xdr:to>
      <xdr:col>2</xdr:col>
      <xdr:colOff>1150078</xdr:colOff>
      <xdr:row>30</xdr:row>
      <xdr:rowOff>161131</xdr:rowOff>
    </xdr:to>
    <xdr:sp macro="" textlink="">
      <xdr:nvSpPr>
        <xdr:cNvPr id="18" name="Elipse 17">
          <a:extLst>
            <a:ext uri="{FF2B5EF4-FFF2-40B4-BE49-F238E27FC236}">
              <a16:creationId xmlns:a16="http://schemas.microsoft.com/office/drawing/2014/main" id="{6853D66D-0615-40D6-9197-6370704B6F5E}"/>
            </a:ext>
          </a:extLst>
        </xdr:cNvPr>
        <xdr:cNvSpPr/>
      </xdr:nvSpPr>
      <xdr:spPr>
        <a:xfrm>
          <a:off x="2298869" y="448827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29</xdr:row>
      <xdr:rowOff>10498</xdr:rowOff>
    </xdr:from>
    <xdr:to>
      <xdr:col>5</xdr:col>
      <xdr:colOff>296169</xdr:colOff>
      <xdr:row>29</xdr:row>
      <xdr:rowOff>160105</xdr:rowOff>
    </xdr:to>
    <xdr:sp macro="" textlink="">
      <xdr:nvSpPr>
        <xdr:cNvPr id="19" name="Elipse 18">
          <a:extLst>
            <a:ext uri="{FF2B5EF4-FFF2-40B4-BE49-F238E27FC236}">
              <a16:creationId xmlns:a16="http://schemas.microsoft.com/office/drawing/2014/main" id="{C7474629-E9D3-4905-8F29-71A6195B3BFA}"/>
            </a:ext>
          </a:extLst>
        </xdr:cNvPr>
        <xdr:cNvSpPr/>
      </xdr:nvSpPr>
      <xdr:spPr>
        <a:xfrm>
          <a:off x="4959685" y="4296748"/>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30</xdr:row>
      <xdr:rowOff>20289</xdr:rowOff>
    </xdr:from>
    <xdr:to>
      <xdr:col>5</xdr:col>
      <xdr:colOff>301183</xdr:colOff>
      <xdr:row>30</xdr:row>
      <xdr:rowOff>169896</xdr:rowOff>
    </xdr:to>
    <xdr:sp macro="" textlink="">
      <xdr:nvSpPr>
        <xdr:cNvPr id="20" name="Elipse 19">
          <a:extLst>
            <a:ext uri="{FF2B5EF4-FFF2-40B4-BE49-F238E27FC236}">
              <a16:creationId xmlns:a16="http://schemas.microsoft.com/office/drawing/2014/main" id="{3A308D50-A039-44E3-B482-D4DAFDF96903}"/>
            </a:ext>
          </a:extLst>
        </xdr:cNvPr>
        <xdr:cNvSpPr/>
      </xdr:nvSpPr>
      <xdr:spPr>
        <a:xfrm>
          <a:off x="4964699" y="449703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33</xdr:row>
      <xdr:rowOff>11524</xdr:rowOff>
    </xdr:from>
    <xdr:to>
      <xdr:col>2</xdr:col>
      <xdr:colOff>1150078</xdr:colOff>
      <xdr:row>33</xdr:row>
      <xdr:rowOff>161131</xdr:rowOff>
    </xdr:to>
    <xdr:sp macro="" textlink="">
      <xdr:nvSpPr>
        <xdr:cNvPr id="21" name="Elipse 20">
          <a:extLst>
            <a:ext uri="{FF2B5EF4-FFF2-40B4-BE49-F238E27FC236}">
              <a16:creationId xmlns:a16="http://schemas.microsoft.com/office/drawing/2014/main" id="{9A0B7F02-8DA8-4640-BD8C-4491A08E3176}"/>
            </a:ext>
          </a:extLst>
        </xdr:cNvPr>
        <xdr:cNvSpPr/>
      </xdr:nvSpPr>
      <xdr:spPr>
        <a:xfrm>
          <a:off x="2298869" y="490737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32</xdr:row>
      <xdr:rowOff>10498</xdr:rowOff>
    </xdr:from>
    <xdr:to>
      <xdr:col>5</xdr:col>
      <xdr:colOff>296169</xdr:colOff>
      <xdr:row>32</xdr:row>
      <xdr:rowOff>160105</xdr:rowOff>
    </xdr:to>
    <xdr:sp macro="" textlink="">
      <xdr:nvSpPr>
        <xdr:cNvPr id="22" name="Elipse 21">
          <a:extLst>
            <a:ext uri="{FF2B5EF4-FFF2-40B4-BE49-F238E27FC236}">
              <a16:creationId xmlns:a16="http://schemas.microsoft.com/office/drawing/2014/main" id="{B7379DA0-4B41-49C5-B046-95D0B1744705}"/>
            </a:ext>
          </a:extLst>
        </xdr:cNvPr>
        <xdr:cNvSpPr/>
      </xdr:nvSpPr>
      <xdr:spPr>
        <a:xfrm>
          <a:off x="4959685" y="4715848"/>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33</xdr:row>
      <xdr:rowOff>20289</xdr:rowOff>
    </xdr:from>
    <xdr:to>
      <xdr:col>5</xdr:col>
      <xdr:colOff>301183</xdr:colOff>
      <xdr:row>33</xdr:row>
      <xdr:rowOff>169896</xdr:rowOff>
    </xdr:to>
    <xdr:sp macro="" textlink="">
      <xdr:nvSpPr>
        <xdr:cNvPr id="23" name="Elipse 22">
          <a:extLst>
            <a:ext uri="{FF2B5EF4-FFF2-40B4-BE49-F238E27FC236}">
              <a16:creationId xmlns:a16="http://schemas.microsoft.com/office/drawing/2014/main" id="{D208A1C1-508D-4CC5-AD14-00CE3AD0AF7D}"/>
            </a:ext>
          </a:extLst>
        </xdr:cNvPr>
        <xdr:cNvSpPr/>
      </xdr:nvSpPr>
      <xdr:spPr>
        <a:xfrm>
          <a:off x="4964699" y="491613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36</xdr:row>
      <xdr:rowOff>11524</xdr:rowOff>
    </xdr:from>
    <xdr:to>
      <xdr:col>2</xdr:col>
      <xdr:colOff>1150078</xdr:colOff>
      <xdr:row>36</xdr:row>
      <xdr:rowOff>161131</xdr:rowOff>
    </xdr:to>
    <xdr:sp macro="" textlink="">
      <xdr:nvSpPr>
        <xdr:cNvPr id="24" name="Elipse 23">
          <a:extLst>
            <a:ext uri="{FF2B5EF4-FFF2-40B4-BE49-F238E27FC236}">
              <a16:creationId xmlns:a16="http://schemas.microsoft.com/office/drawing/2014/main" id="{EA937517-89AB-4434-94C7-0A061542A3EF}"/>
            </a:ext>
          </a:extLst>
        </xdr:cNvPr>
        <xdr:cNvSpPr/>
      </xdr:nvSpPr>
      <xdr:spPr>
        <a:xfrm>
          <a:off x="2298869" y="534552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35</xdr:row>
      <xdr:rowOff>10498</xdr:rowOff>
    </xdr:from>
    <xdr:to>
      <xdr:col>5</xdr:col>
      <xdr:colOff>296169</xdr:colOff>
      <xdr:row>35</xdr:row>
      <xdr:rowOff>160105</xdr:rowOff>
    </xdr:to>
    <xdr:sp macro="" textlink="">
      <xdr:nvSpPr>
        <xdr:cNvPr id="25" name="Elipse 24">
          <a:extLst>
            <a:ext uri="{FF2B5EF4-FFF2-40B4-BE49-F238E27FC236}">
              <a16:creationId xmlns:a16="http://schemas.microsoft.com/office/drawing/2014/main" id="{9159AC67-DCEE-4726-B4AB-64D9B3165B82}"/>
            </a:ext>
          </a:extLst>
        </xdr:cNvPr>
        <xdr:cNvSpPr/>
      </xdr:nvSpPr>
      <xdr:spPr>
        <a:xfrm>
          <a:off x="4959685" y="5153998"/>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36</xdr:row>
      <xdr:rowOff>20289</xdr:rowOff>
    </xdr:from>
    <xdr:to>
      <xdr:col>5</xdr:col>
      <xdr:colOff>301183</xdr:colOff>
      <xdr:row>36</xdr:row>
      <xdr:rowOff>169896</xdr:rowOff>
    </xdr:to>
    <xdr:sp macro="" textlink="">
      <xdr:nvSpPr>
        <xdr:cNvPr id="26" name="Elipse 25">
          <a:extLst>
            <a:ext uri="{FF2B5EF4-FFF2-40B4-BE49-F238E27FC236}">
              <a16:creationId xmlns:a16="http://schemas.microsoft.com/office/drawing/2014/main" id="{0B6C8912-1B40-42B1-A7F6-EA2DAB4F024E}"/>
            </a:ext>
          </a:extLst>
        </xdr:cNvPr>
        <xdr:cNvSpPr/>
      </xdr:nvSpPr>
      <xdr:spPr>
        <a:xfrm>
          <a:off x="4964699" y="535428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39</xdr:row>
      <xdr:rowOff>11524</xdr:rowOff>
    </xdr:from>
    <xdr:to>
      <xdr:col>2</xdr:col>
      <xdr:colOff>1150078</xdr:colOff>
      <xdr:row>39</xdr:row>
      <xdr:rowOff>161131</xdr:rowOff>
    </xdr:to>
    <xdr:sp macro="" textlink="">
      <xdr:nvSpPr>
        <xdr:cNvPr id="27" name="Elipse 26">
          <a:extLst>
            <a:ext uri="{FF2B5EF4-FFF2-40B4-BE49-F238E27FC236}">
              <a16:creationId xmlns:a16="http://schemas.microsoft.com/office/drawing/2014/main" id="{CBB27ED8-6A6A-4EE1-98A9-2C0D397B9799}"/>
            </a:ext>
          </a:extLst>
        </xdr:cNvPr>
        <xdr:cNvSpPr/>
      </xdr:nvSpPr>
      <xdr:spPr>
        <a:xfrm>
          <a:off x="2298869" y="578367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38</xdr:row>
      <xdr:rowOff>10498</xdr:rowOff>
    </xdr:from>
    <xdr:to>
      <xdr:col>5</xdr:col>
      <xdr:colOff>296169</xdr:colOff>
      <xdr:row>38</xdr:row>
      <xdr:rowOff>160105</xdr:rowOff>
    </xdr:to>
    <xdr:sp macro="" textlink="">
      <xdr:nvSpPr>
        <xdr:cNvPr id="28" name="Elipse 27">
          <a:extLst>
            <a:ext uri="{FF2B5EF4-FFF2-40B4-BE49-F238E27FC236}">
              <a16:creationId xmlns:a16="http://schemas.microsoft.com/office/drawing/2014/main" id="{93335F05-372E-4516-9A8C-DBE1EA5CFCF2}"/>
            </a:ext>
          </a:extLst>
        </xdr:cNvPr>
        <xdr:cNvSpPr/>
      </xdr:nvSpPr>
      <xdr:spPr>
        <a:xfrm>
          <a:off x="4959685" y="5592148"/>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39</xdr:row>
      <xdr:rowOff>20289</xdr:rowOff>
    </xdr:from>
    <xdr:to>
      <xdr:col>5</xdr:col>
      <xdr:colOff>301183</xdr:colOff>
      <xdr:row>39</xdr:row>
      <xdr:rowOff>169896</xdr:rowOff>
    </xdr:to>
    <xdr:sp macro="" textlink="">
      <xdr:nvSpPr>
        <xdr:cNvPr id="29" name="Elipse 28">
          <a:extLst>
            <a:ext uri="{FF2B5EF4-FFF2-40B4-BE49-F238E27FC236}">
              <a16:creationId xmlns:a16="http://schemas.microsoft.com/office/drawing/2014/main" id="{4155CEA7-D5DE-4820-8EEB-DAEBF3E8B5B3}"/>
            </a:ext>
          </a:extLst>
        </xdr:cNvPr>
        <xdr:cNvSpPr/>
      </xdr:nvSpPr>
      <xdr:spPr>
        <a:xfrm>
          <a:off x="4964699" y="579243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955844</xdr:colOff>
      <xdr:row>42</xdr:row>
      <xdr:rowOff>11524</xdr:rowOff>
    </xdr:from>
    <xdr:to>
      <xdr:col>2</xdr:col>
      <xdr:colOff>1150078</xdr:colOff>
      <xdr:row>42</xdr:row>
      <xdr:rowOff>161131</xdr:rowOff>
    </xdr:to>
    <xdr:sp macro="" textlink="">
      <xdr:nvSpPr>
        <xdr:cNvPr id="30" name="Elipse 29">
          <a:extLst>
            <a:ext uri="{FF2B5EF4-FFF2-40B4-BE49-F238E27FC236}">
              <a16:creationId xmlns:a16="http://schemas.microsoft.com/office/drawing/2014/main" id="{F146CE5F-3C7C-45D2-9151-95EB7454316B}"/>
            </a:ext>
          </a:extLst>
        </xdr:cNvPr>
        <xdr:cNvSpPr/>
      </xdr:nvSpPr>
      <xdr:spPr>
        <a:xfrm>
          <a:off x="2298869" y="6212299"/>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101935</xdr:colOff>
      <xdr:row>41</xdr:row>
      <xdr:rowOff>10498</xdr:rowOff>
    </xdr:from>
    <xdr:to>
      <xdr:col>5</xdr:col>
      <xdr:colOff>296169</xdr:colOff>
      <xdr:row>41</xdr:row>
      <xdr:rowOff>160105</xdr:rowOff>
    </xdr:to>
    <xdr:sp macro="" textlink="">
      <xdr:nvSpPr>
        <xdr:cNvPr id="31" name="Elipse 30">
          <a:extLst>
            <a:ext uri="{FF2B5EF4-FFF2-40B4-BE49-F238E27FC236}">
              <a16:creationId xmlns:a16="http://schemas.microsoft.com/office/drawing/2014/main" id="{CE9F070B-DCFC-4DE5-A963-3FA2D3196EAC}"/>
            </a:ext>
          </a:extLst>
        </xdr:cNvPr>
        <xdr:cNvSpPr/>
      </xdr:nvSpPr>
      <xdr:spPr>
        <a:xfrm>
          <a:off x="4959685" y="6020773"/>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106949</xdr:colOff>
      <xdr:row>42</xdr:row>
      <xdr:rowOff>20289</xdr:rowOff>
    </xdr:from>
    <xdr:to>
      <xdr:col>5</xdr:col>
      <xdr:colOff>301183</xdr:colOff>
      <xdr:row>42</xdr:row>
      <xdr:rowOff>169896</xdr:rowOff>
    </xdr:to>
    <xdr:sp macro="" textlink="">
      <xdr:nvSpPr>
        <xdr:cNvPr id="32" name="Elipse 31">
          <a:extLst>
            <a:ext uri="{FF2B5EF4-FFF2-40B4-BE49-F238E27FC236}">
              <a16:creationId xmlns:a16="http://schemas.microsoft.com/office/drawing/2014/main" id="{4E71C0FA-D0A5-439D-8439-5D9FDEF78DF5}"/>
            </a:ext>
          </a:extLst>
        </xdr:cNvPr>
        <xdr:cNvSpPr/>
      </xdr:nvSpPr>
      <xdr:spPr>
        <a:xfrm>
          <a:off x="4964699" y="6221064"/>
          <a:ext cx="194234" cy="149607"/>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242711</xdr:colOff>
      <xdr:row>12</xdr:row>
      <xdr:rowOff>19050</xdr:rowOff>
    </xdr:from>
    <xdr:to>
      <xdr:col>2</xdr:col>
      <xdr:colOff>426861</xdr:colOff>
      <xdr:row>12</xdr:row>
      <xdr:rowOff>165100</xdr:rowOff>
    </xdr:to>
    <xdr:sp macro="" textlink="">
      <xdr:nvSpPr>
        <xdr:cNvPr id="2" name="Elipse 1">
          <a:extLst>
            <a:ext uri="{FF2B5EF4-FFF2-40B4-BE49-F238E27FC236}">
              <a16:creationId xmlns:a16="http://schemas.microsoft.com/office/drawing/2014/main" id="{68142BCC-9AAD-47D8-87BA-C7CB5D60B609}"/>
            </a:ext>
          </a:extLst>
        </xdr:cNvPr>
        <xdr:cNvSpPr/>
      </xdr:nvSpPr>
      <xdr:spPr>
        <a:xfrm>
          <a:off x="1576211" y="1914525"/>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1419576</xdr:colOff>
      <xdr:row>12</xdr:row>
      <xdr:rowOff>19050</xdr:rowOff>
    </xdr:from>
    <xdr:to>
      <xdr:col>2</xdr:col>
      <xdr:colOff>1603726</xdr:colOff>
      <xdr:row>12</xdr:row>
      <xdr:rowOff>165100</xdr:rowOff>
    </xdr:to>
    <xdr:sp macro="" textlink="">
      <xdr:nvSpPr>
        <xdr:cNvPr id="3" name="Elipse 2">
          <a:extLst>
            <a:ext uri="{FF2B5EF4-FFF2-40B4-BE49-F238E27FC236}">
              <a16:creationId xmlns:a16="http://schemas.microsoft.com/office/drawing/2014/main" id="{7A90069B-20AE-4243-827C-1AB1E188C443}"/>
            </a:ext>
          </a:extLst>
        </xdr:cNvPr>
        <xdr:cNvSpPr/>
      </xdr:nvSpPr>
      <xdr:spPr>
        <a:xfrm>
          <a:off x="2753076" y="1914525"/>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944033</xdr:colOff>
      <xdr:row>13</xdr:row>
      <xdr:rowOff>19050</xdr:rowOff>
    </xdr:from>
    <xdr:to>
      <xdr:col>2</xdr:col>
      <xdr:colOff>1128183</xdr:colOff>
      <xdr:row>13</xdr:row>
      <xdr:rowOff>165100</xdr:rowOff>
    </xdr:to>
    <xdr:sp macro="" textlink="">
      <xdr:nvSpPr>
        <xdr:cNvPr id="4" name="Elipse 3">
          <a:extLst>
            <a:ext uri="{FF2B5EF4-FFF2-40B4-BE49-F238E27FC236}">
              <a16:creationId xmlns:a16="http://schemas.microsoft.com/office/drawing/2014/main" id="{1F7B1F75-E4DA-4595-AA81-52731D28AE1E}"/>
            </a:ext>
          </a:extLst>
        </xdr:cNvPr>
        <xdr:cNvSpPr/>
      </xdr:nvSpPr>
      <xdr:spPr>
        <a:xfrm>
          <a:off x="2277533" y="2095500"/>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723169</xdr:colOff>
      <xdr:row>13</xdr:row>
      <xdr:rowOff>25400</xdr:rowOff>
    </xdr:from>
    <xdr:to>
      <xdr:col>3</xdr:col>
      <xdr:colOff>907319</xdr:colOff>
      <xdr:row>13</xdr:row>
      <xdr:rowOff>171450</xdr:rowOff>
    </xdr:to>
    <xdr:sp macro="" textlink="">
      <xdr:nvSpPr>
        <xdr:cNvPr id="5" name="Elipse 4">
          <a:extLst>
            <a:ext uri="{FF2B5EF4-FFF2-40B4-BE49-F238E27FC236}">
              <a16:creationId xmlns:a16="http://schemas.microsoft.com/office/drawing/2014/main" id="{6EB3F724-0970-4E9E-A01D-8FEE2DA17E6C}"/>
            </a:ext>
          </a:extLst>
        </xdr:cNvPr>
        <xdr:cNvSpPr/>
      </xdr:nvSpPr>
      <xdr:spPr>
        <a:xfrm>
          <a:off x="3799744" y="2101850"/>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2826</xdr:colOff>
      <xdr:row>14</xdr:row>
      <xdr:rowOff>24694</xdr:rowOff>
    </xdr:from>
    <xdr:to>
      <xdr:col>2</xdr:col>
      <xdr:colOff>179920</xdr:colOff>
      <xdr:row>14</xdr:row>
      <xdr:rowOff>170744</xdr:rowOff>
    </xdr:to>
    <xdr:sp macro="" textlink="">
      <xdr:nvSpPr>
        <xdr:cNvPr id="6" name="Elipse 5">
          <a:extLst>
            <a:ext uri="{FF2B5EF4-FFF2-40B4-BE49-F238E27FC236}">
              <a16:creationId xmlns:a16="http://schemas.microsoft.com/office/drawing/2014/main" id="{8762C2AF-6984-46C0-825D-0F31A7D7468F}"/>
            </a:ext>
          </a:extLst>
        </xdr:cNvPr>
        <xdr:cNvSpPr/>
      </xdr:nvSpPr>
      <xdr:spPr>
        <a:xfrm>
          <a:off x="1336326" y="2282119"/>
          <a:ext cx="177094"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109361</xdr:colOff>
      <xdr:row>14</xdr:row>
      <xdr:rowOff>32455</xdr:rowOff>
    </xdr:from>
    <xdr:to>
      <xdr:col>3</xdr:col>
      <xdr:colOff>293511</xdr:colOff>
      <xdr:row>14</xdr:row>
      <xdr:rowOff>178505</xdr:rowOff>
    </xdr:to>
    <xdr:sp macro="" textlink="">
      <xdr:nvSpPr>
        <xdr:cNvPr id="7" name="Elipse 6">
          <a:extLst>
            <a:ext uri="{FF2B5EF4-FFF2-40B4-BE49-F238E27FC236}">
              <a16:creationId xmlns:a16="http://schemas.microsoft.com/office/drawing/2014/main" id="{9E13A861-BC06-40DE-B457-20710C81B1E2}"/>
            </a:ext>
          </a:extLst>
        </xdr:cNvPr>
        <xdr:cNvSpPr/>
      </xdr:nvSpPr>
      <xdr:spPr>
        <a:xfrm>
          <a:off x="3185936" y="2289880"/>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634994</xdr:colOff>
      <xdr:row>19</xdr:row>
      <xdr:rowOff>33162</xdr:rowOff>
    </xdr:from>
    <xdr:to>
      <xdr:col>2</xdr:col>
      <xdr:colOff>76894</xdr:colOff>
      <xdr:row>19</xdr:row>
      <xdr:rowOff>183444</xdr:rowOff>
    </xdr:to>
    <xdr:sp macro="" textlink="">
      <xdr:nvSpPr>
        <xdr:cNvPr id="8" name="Rectángulo 7">
          <a:extLst>
            <a:ext uri="{FF2B5EF4-FFF2-40B4-BE49-F238E27FC236}">
              <a16:creationId xmlns:a16="http://schemas.microsoft.com/office/drawing/2014/main" id="{CDEE30D8-22DB-4954-A709-3B574BE24C76}"/>
            </a:ext>
          </a:extLst>
        </xdr:cNvPr>
        <xdr:cNvSpPr/>
      </xdr:nvSpPr>
      <xdr:spPr>
        <a:xfrm>
          <a:off x="949319" y="3109737"/>
          <a:ext cx="461075"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299866</xdr:colOff>
      <xdr:row>12</xdr:row>
      <xdr:rowOff>19754</xdr:rowOff>
    </xdr:from>
    <xdr:to>
      <xdr:col>5</xdr:col>
      <xdr:colOff>484016</xdr:colOff>
      <xdr:row>12</xdr:row>
      <xdr:rowOff>165804</xdr:rowOff>
    </xdr:to>
    <xdr:sp macro="" textlink="">
      <xdr:nvSpPr>
        <xdr:cNvPr id="9" name="Elipse 8">
          <a:extLst>
            <a:ext uri="{FF2B5EF4-FFF2-40B4-BE49-F238E27FC236}">
              <a16:creationId xmlns:a16="http://schemas.microsoft.com/office/drawing/2014/main" id="{675ED463-E06B-43B6-AAA2-D3126046260A}"/>
            </a:ext>
          </a:extLst>
        </xdr:cNvPr>
        <xdr:cNvSpPr/>
      </xdr:nvSpPr>
      <xdr:spPr>
        <a:xfrm>
          <a:off x="5624341" y="1915229"/>
          <a:ext cx="184150" cy="146050"/>
        </a:xfrm>
        <a:prstGeom prst="ellipse">
          <a:avLst/>
        </a:prstGeom>
        <a:ln w="3175">
          <a:solidFill>
            <a:schemeClr val="tx1"/>
          </a:solidFill>
          <a:prstDash val="lgDash"/>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307615</xdr:colOff>
      <xdr:row>13</xdr:row>
      <xdr:rowOff>26105</xdr:rowOff>
    </xdr:from>
    <xdr:to>
      <xdr:col>5</xdr:col>
      <xdr:colOff>491765</xdr:colOff>
      <xdr:row>13</xdr:row>
      <xdr:rowOff>172155</xdr:rowOff>
    </xdr:to>
    <xdr:sp macro="" textlink="">
      <xdr:nvSpPr>
        <xdr:cNvPr id="10" name="Elipse 9">
          <a:extLst>
            <a:ext uri="{FF2B5EF4-FFF2-40B4-BE49-F238E27FC236}">
              <a16:creationId xmlns:a16="http://schemas.microsoft.com/office/drawing/2014/main" id="{0478E2EA-E5F8-4360-8B9A-E7D071E27DFE}"/>
            </a:ext>
          </a:extLst>
        </xdr:cNvPr>
        <xdr:cNvSpPr/>
      </xdr:nvSpPr>
      <xdr:spPr>
        <a:xfrm>
          <a:off x="5632090" y="2102555"/>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5</xdr:col>
      <xdr:colOff>536220</xdr:colOff>
      <xdr:row>14</xdr:row>
      <xdr:rowOff>19050</xdr:rowOff>
    </xdr:from>
    <xdr:to>
      <xdr:col>6</xdr:col>
      <xdr:colOff>618770</xdr:colOff>
      <xdr:row>14</xdr:row>
      <xdr:rowOff>183444</xdr:rowOff>
    </xdr:to>
    <xdr:sp macro="" textlink="">
      <xdr:nvSpPr>
        <xdr:cNvPr id="11" name="Rectángulo 10">
          <a:extLst>
            <a:ext uri="{FF2B5EF4-FFF2-40B4-BE49-F238E27FC236}">
              <a16:creationId xmlns:a16="http://schemas.microsoft.com/office/drawing/2014/main" id="{E7AFE796-158C-423F-811A-3FD4678C8BA8}"/>
            </a:ext>
          </a:extLst>
        </xdr:cNvPr>
        <xdr:cNvSpPr/>
      </xdr:nvSpPr>
      <xdr:spPr>
        <a:xfrm>
          <a:off x="5860695" y="2276475"/>
          <a:ext cx="1035050" cy="164394"/>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11</xdr:col>
      <xdr:colOff>107944</xdr:colOff>
      <xdr:row>13</xdr:row>
      <xdr:rowOff>19051</xdr:rowOff>
    </xdr:from>
    <xdr:to>
      <xdr:col>11</xdr:col>
      <xdr:colOff>292094</xdr:colOff>
      <xdr:row>13</xdr:row>
      <xdr:rowOff>165101</xdr:rowOff>
    </xdr:to>
    <xdr:sp macro="" textlink="">
      <xdr:nvSpPr>
        <xdr:cNvPr id="12" name="Elipse 11">
          <a:extLst>
            <a:ext uri="{FF2B5EF4-FFF2-40B4-BE49-F238E27FC236}">
              <a16:creationId xmlns:a16="http://schemas.microsoft.com/office/drawing/2014/main" id="{67F8E9CC-D458-4DC5-A785-E0D58D3378E1}"/>
            </a:ext>
          </a:extLst>
        </xdr:cNvPr>
        <xdr:cNvSpPr/>
      </xdr:nvSpPr>
      <xdr:spPr>
        <a:xfrm>
          <a:off x="9623419" y="2095501"/>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296332</xdr:colOff>
      <xdr:row>12</xdr:row>
      <xdr:rowOff>11288</xdr:rowOff>
    </xdr:from>
    <xdr:to>
      <xdr:col>11</xdr:col>
      <xdr:colOff>366888</xdr:colOff>
      <xdr:row>12</xdr:row>
      <xdr:rowOff>162278</xdr:rowOff>
    </xdr:to>
    <xdr:sp macro="" textlink="">
      <xdr:nvSpPr>
        <xdr:cNvPr id="13" name="Rectángulo 12">
          <a:extLst>
            <a:ext uri="{FF2B5EF4-FFF2-40B4-BE49-F238E27FC236}">
              <a16:creationId xmlns:a16="http://schemas.microsoft.com/office/drawing/2014/main" id="{B76499CC-EFD6-4F22-915C-1D225362B45B}"/>
            </a:ext>
          </a:extLst>
        </xdr:cNvPr>
        <xdr:cNvSpPr/>
      </xdr:nvSpPr>
      <xdr:spPr>
        <a:xfrm>
          <a:off x="8811682" y="1906763"/>
          <a:ext cx="1070681" cy="150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8</xdr:col>
      <xdr:colOff>381000</xdr:colOff>
      <xdr:row>14</xdr:row>
      <xdr:rowOff>31750</xdr:rowOff>
    </xdr:from>
    <xdr:to>
      <xdr:col>8</xdr:col>
      <xdr:colOff>565150</xdr:colOff>
      <xdr:row>14</xdr:row>
      <xdr:rowOff>177800</xdr:rowOff>
    </xdr:to>
    <xdr:sp macro="" textlink="">
      <xdr:nvSpPr>
        <xdr:cNvPr id="14" name="Elipse 13">
          <a:extLst>
            <a:ext uri="{FF2B5EF4-FFF2-40B4-BE49-F238E27FC236}">
              <a16:creationId xmlns:a16="http://schemas.microsoft.com/office/drawing/2014/main" id="{73501E92-B85B-46FF-BC13-01FB61E23C80}"/>
            </a:ext>
          </a:extLst>
        </xdr:cNvPr>
        <xdr:cNvSpPr/>
      </xdr:nvSpPr>
      <xdr:spPr>
        <a:xfrm>
          <a:off x="8343900" y="2289175"/>
          <a:ext cx="174625"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11</xdr:col>
      <xdr:colOff>122772</xdr:colOff>
      <xdr:row>14</xdr:row>
      <xdr:rowOff>25400</xdr:rowOff>
    </xdr:from>
    <xdr:to>
      <xdr:col>11</xdr:col>
      <xdr:colOff>306922</xdr:colOff>
      <xdr:row>14</xdr:row>
      <xdr:rowOff>171450</xdr:rowOff>
    </xdr:to>
    <xdr:sp macro="" textlink="">
      <xdr:nvSpPr>
        <xdr:cNvPr id="15" name="Elipse 14">
          <a:extLst>
            <a:ext uri="{FF2B5EF4-FFF2-40B4-BE49-F238E27FC236}">
              <a16:creationId xmlns:a16="http://schemas.microsoft.com/office/drawing/2014/main" id="{AF97F1E1-0AC8-4E49-A511-7DF86E6CCED6}"/>
            </a:ext>
          </a:extLst>
        </xdr:cNvPr>
        <xdr:cNvSpPr/>
      </xdr:nvSpPr>
      <xdr:spPr>
        <a:xfrm>
          <a:off x="9638247" y="2282825"/>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115683</xdr:colOff>
      <xdr:row>19</xdr:row>
      <xdr:rowOff>26519</xdr:rowOff>
    </xdr:from>
    <xdr:to>
      <xdr:col>1</xdr:col>
      <xdr:colOff>309917</xdr:colOff>
      <xdr:row>19</xdr:row>
      <xdr:rowOff>175932</xdr:rowOff>
    </xdr:to>
    <xdr:sp macro="" textlink="">
      <xdr:nvSpPr>
        <xdr:cNvPr id="16" name="Elipse 15">
          <a:extLst>
            <a:ext uri="{FF2B5EF4-FFF2-40B4-BE49-F238E27FC236}">
              <a16:creationId xmlns:a16="http://schemas.microsoft.com/office/drawing/2014/main" id="{55424006-BA92-4189-8C71-C3EFB306121D}"/>
            </a:ext>
          </a:extLst>
        </xdr:cNvPr>
        <xdr:cNvSpPr/>
      </xdr:nvSpPr>
      <xdr:spPr>
        <a:xfrm>
          <a:off x="1633038" y="3615007"/>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385938</xdr:colOff>
      <xdr:row>19</xdr:row>
      <xdr:rowOff>19050</xdr:rowOff>
    </xdr:from>
    <xdr:to>
      <xdr:col>3</xdr:col>
      <xdr:colOff>580172</xdr:colOff>
      <xdr:row>19</xdr:row>
      <xdr:rowOff>168463</xdr:rowOff>
    </xdr:to>
    <xdr:sp macro="" textlink="">
      <xdr:nvSpPr>
        <xdr:cNvPr id="17" name="Elipse 16">
          <a:extLst>
            <a:ext uri="{FF2B5EF4-FFF2-40B4-BE49-F238E27FC236}">
              <a16:creationId xmlns:a16="http://schemas.microsoft.com/office/drawing/2014/main" id="{56FA6E74-4FE7-402A-9754-CCEBE8993B2F}"/>
            </a:ext>
          </a:extLst>
        </xdr:cNvPr>
        <xdr:cNvSpPr/>
      </xdr:nvSpPr>
      <xdr:spPr>
        <a:xfrm>
          <a:off x="3462513" y="3095625"/>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343610</xdr:colOff>
      <xdr:row>19</xdr:row>
      <xdr:rowOff>25805</xdr:rowOff>
    </xdr:from>
    <xdr:to>
      <xdr:col>2</xdr:col>
      <xdr:colOff>537844</xdr:colOff>
      <xdr:row>19</xdr:row>
      <xdr:rowOff>175218</xdr:rowOff>
    </xdr:to>
    <xdr:sp macro="" textlink="">
      <xdr:nvSpPr>
        <xdr:cNvPr id="18" name="Elipse 17">
          <a:extLst>
            <a:ext uri="{FF2B5EF4-FFF2-40B4-BE49-F238E27FC236}">
              <a16:creationId xmlns:a16="http://schemas.microsoft.com/office/drawing/2014/main" id="{EE254260-DA7C-4CF5-87CE-D9DA2BD7E40F}"/>
            </a:ext>
          </a:extLst>
        </xdr:cNvPr>
        <xdr:cNvSpPr/>
      </xdr:nvSpPr>
      <xdr:spPr>
        <a:xfrm>
          <a:off x="1677110" y="3102380"/>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editAs="oneCell">
    <xdr:from>
      <xdr:col>10</xdr:col>
      <xdr:colOff>121831</xdr:colOff>
      <xdr:row>1</xdr:row>
      <xdr:rowOff>166133</xdr:rowOff>
    </xdr:from>
    <xdr:to>
      <xdr:col>11</xdr:col>
      <xdr:colOff>331172</xdr:colOff>
      <xdr:row>4</xdr:row>
      <xdr:rowOff>-1</xdr:rowOff>
    </xdr:to>
    <xdr:pic>
      <xdr:nvPicPr>
        <xdr:cNvPr id="19" name="Imagen 18">
          <a:extLst>
            <a:ext uri="{FF2B5EF4-FFF2-40B4-BE49-F238E27FC236}">
              <a16:creationId xmlns:a16="http://schemas.microsoft.com/office/drawing/2014/main" id="{CBBB5617-AF03-422B-B01D-553D79E15B5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9657907" y="354418"/>
          <a:ext cx="763120" cy="398721"/>
        </a:xfrm>
        <a:prstGeom prst="rect">
          <a:avLst/>
        </a:prstGeom>
        <a:noFill/>
        <a:ln>
          <a:noFill/>
        </a:ln>
        <a:extLst>
          <a:ext uri="{53640926-AAD7-44D8-BBD7-CCE9431645EC}">
            <a14:shadowObscured xmlns:a14="http://schemas.microsoft.com/office/drawing/2010/main"/>
          </a:ext>
        </a:extLst>
      </xdr:spPr>
    </xdr:pic>
    <xdr:clientData/>
  </xdr:twoCellAnchor>
  <xdr:twoCellAnchor>
    <xdr:from>
      <xdr:col>3</xdr:col>
      <xdr:colOff>727405</xdr:colOff>
      <xdr:row>12</xdr:row>
      <xdr:rowOff>22580</xdr:rowOff>
    </xdr:from>
    <xdr:to>
      <xdr:col>3</xdr:col>
      <xdr:colOff>911555</xdr:colOff>
      <xdr:row>12</xdr:row>
      <xdr:rowOff>168630</xdr:rowOff>
    </xdr:to>
    <xdr:sp macro="" textlink="">
      <xdr:nvSpPr>
        <xdr:cNvPr id="20" name="Elipse 19">
          <a:extLst>
            <a:ext uri="{FF2B5EF4-FFF2-40B4-BE49-F238E27FC236}">
              <a16:creationId xmlns:a16="http://schemas.microsoft.com/office/drawing/2014/main" id="{99E83070-F9BB-4AAA-9D1A-D5A0C102382C}"/>
            </a:ext>
          </a:extLst>
        </xdr:cNvPr>
        <xdr:cNvSpPr/>
      </xdr:nvSpPr>
      <xdr:spPr>
        <a:xfrm>
          <a:off x="3803980" y="1918055"/>
          <a:ext cx="184150" cy="146050"/>
        </a:xfrm>
        <a:prstGeom prst="ellipse">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829730</xdr:colOff>
      <xdr:row>14</xdr:row>
      <xdr:rowOff>30339</xdr:rowOff>
    </xdr:from>
    <xdr:to>
      <xdr:col>2</xdr:col>
      <xdr:colOff>1266464</xdr:colOff>
      <xdr:row>14</xdr:row>
      <xdr:rowOff>180621</xdr:rowOff>
    </xdr:to>
    <xdr:sp macro="" textlink="">
      <xdr:nvSpPr>
        <xdr:cNvPr id="21" name="Rectángulo 20">
          <a:extLst>
            <a:ext uri="{FF2B5EF4-FFF2-40B4-BE49-F238E27FC236}">
              <a16:creationId xmlns:a16="http://schemas.microsoft.com/office/drawing/2014/main" id="{8665190E-1AE1-4944-AEE3-6B832E5A520E}"/>
            </a:ext>
          </a:extLst>
        </xdr:cNvPr>
        <xdr:cNvSpPr/>
      </xdr:nvSpPr>
      <xdr:spPr>
        <a:xfrm>
          <a:off x="2163230" y="2287764"/>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984940</xdr:colOff>
      <xdr:row>19</xdr:row>
      <xdr:rowOff>37398</xdr:rowOff>
    </xdr:from>
    <xdr:to>
      <xdr:col>2</xdr:col>
      <xdr:colOff>1421674</xdr:colOff>
      <xdr:row>19</xdr:row>
      <xdr:rowOff>187680</xdr:rowOff>
    </xdr:to>
    <xdr:sp macro="" textlink="">
      <xdr:nvSpPr>
        <xdr:cNvPr id="22" name="Rectángulo 21">
          <a:extLst>
            <a:ext uri="{FF2B5EF4-FFF2-40B4-BE49-F238E27FC236}">
              <a16:creationId xmlns:a16="http://schemas.microsoft.com/office/drawing/2014/main" id="{A87E3DCD-3085-419D-87DD-54CDD96A1624}"/>
            </a:ext>
          </a:extLst>
        </xdr:cNvPr>
        <xdr:cNvSpPr/>
      </xdr:nvSpPr>
      <xdr:spPr>
        <a:xfrm>
          <a:off x="2318440" y="3113973"/>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1052665</xdr:colOff>
      <xdr:row>19</xdr:row>
      <xdr:rowOff>27520</xdr:rowOff>
    </xdr:from>
    <xdr:to>
      <xdr:col>3</xdr:col>
      <xdr:colOff>1489399</xdr:colOff>
      <xdr:row>19</xdr:row>
      <xdr:rowOff>177802</xdr:rowOff>
    </xdr:to>
    <xdr:sp macro="" textlink="">
      <xdr:nvSpPr>
        <xdr:cNvPr id="23" name="Rectángulo 22">
          <a:extLst>
            <a:ext uri="{FF2B5EF4-FFF2-40B4-BE49-F238E27FC236}">
              <a16:creationId xmlns:a16="http://schemas.microsoft.com/office/drawing/2014/main" id="{D628310F-1EAD-4177-B189-E1F3DAB42B5E}"/>
            </a:ext>
          </a:extLst>
        </xdr:cNvPr>
        <xdr:cNvSpPr/>
      </xdr:nvSpPr>
      <xdr:spPr>
        <a:xfrm>
          <a:off x="4129240" y="3104095"/>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1088670</xdr:colOff>
      <xdr:row>17</xdr:row>
      <xdr:rowOff>23283</xdr:rowOff>
    </xdr:from>
    <xdr:to>
      <xdr:col>2</xdr:col>
      <xdr:colOff>1282904</xdr:colOff>
      <xdr:row>17</xdr:row>
      <xdr:rowOff>172696</xdr:rowOff>
    </xdr:to>
    <xdr:sp macro="" textlink="">
      <xdr:nvSpPr>
        <xdr:cNvPr id="24" name="Elipse 23">
          <a:extLst>
            <a:ext uri="{FF2B5EF4-FFF2-40B4-BE49-F238E27FC236}">
              <a16:creationId xmlns:a16="http://schemas.microsoft.com/office/drawing/2014/main" id="{7A67BD5F-3822-4E90-B2D6-946E243D28F3}"/>
            </a:ext>
          </a:extLst>
        </xdr:cNvPr>
        <xdr:cNvSpPr/>
      </xdr:nvSpPr>
      <xdr:spPr>
        <a:xfrm>
          <a:off x="2422170" y="2728383"/>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189065</xdr:colOff>
      <xdr:row>17</xdr:row>
      <xdr:rowOff>10587</xdr:rowOff>
    </xdr:from>
    <xdr:to>
      <xdr:col>3</xdr:col>
      <xdr:colOff>625799</xdr:colOff>
      <xdr:row>17</xdr:row>
      <xdr:rowOff>160869</xdr:rowOff>
    </xdr:to>
    <xdr:sp macro="" textlink="">
      <xdr:nvSpPr>
        <xdr:cNvPr id="25" name="Rectángulo 24">
          <a:extLst>
            <a:ext uri="{FF2B5EF4-FFF2-40B4-BE49-F238E27FC236}">
              <a16:creationId xmlns:a16="http://schemas.microsoft.com/office/drawing/2014/main" id="{46BF5B3C-C349-4A4B-AECA-72A6C63A2B16}"/>
            </a:ext>
          </a:extLst>
        </xdr:cNvPr>
        <xdr:cNvSpPr/>
      </xdr:nvSpPr>
      <xdr:spPr>
        <a:xfrm>
          <a:off x="3265640" y="2715687"/>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1092176</xdr:colOff>
      <xdr:row>14</xdr:row>
      <xdr:rowOff>31753</xdr:rowOff>
    </xdr:from>
    <xdr:to>
      <xdr:col>3</xdr:col>
      <xdr:colOff>1528910</xdr:colOff>
      <xdr:row>14</xdr:row>
      <xdr:rowOff>182035</xdr:rowOff>
    </xdr:to>
    <xdr:sp macro="" textlink="">
      <xdr:nvSpPr>
        <xdr:cNvPr id="26" name="Rectángulo 25">
          <a:extLst>
            <a:ext uri="{FF2B5EF4-FFF2-40B4-BE49-F238E27FC236}">
              <a16:creationId xmlns:a16="http://schemas.microsoft.com/office/drawing/2014/main" id="{7EDE3E11-0C88-4BB9-8148-9877E641D4D1}"/>
            </a:ext>
          </a:extLst>
        </xdr:cNvPr>
        <xdr:cNvSpPr/>
      </xdr:nvSpPr>
      <xdr:spPr>
        <a:xfrm>
          <a:off x="4168751" y="2289178"/>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19731</xdr:colOff>
      <xdr:row>16</xdr:row>
      <xdr:rowOff>17642</xdr:rowOff>
    </xdr:from>
    <xdr:to>
      <xdr:col>6</xdr:col>
      <xdr:colOff>797278</xdr:colOff>
      <xdr:row>16</xdr:row>
      <xdr:rowOff>176389</xdr:rowOff>
    </xdr:to>
    <xdr:sp macro="" textlink="">
      <xdr:nvSpPr>
        <xdr:cNvPr id="27" name="Rectángulo 26">
          <a:extLst>
            <a:ext uri="{FF2B5EF4-FFF2-40B4-BE49-F238E27FC236}">
              <a16:creationId xmlns:a16="http://schemas.microsoft.com/office/drawing/2014/main" id="{A6C5D3A8-10C9-4F09-8095-729B348476D6}"/>
            </a:ext>
          </a:extLst>
        </xdr:cNvPr>
        <xdr:cNvSpPr/>
      </xdr:nvSpPr>
      <xdr:spPr>
        <a:xfrm>
          <a:off x="6296706" y="2522717"/>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16899</xdr:colOff>
      <xdr:row>17</xdr:row>
      <xdr:rowOff>7767</xdr:rowOff>
    </xdr:from>
    <xdr:to>
      <xdr:col>6</xdr:col>
      <xdr:colOff>794446</xdr:colOff>
      <xdr:row>17</xdr:row>
      <xdr:rowOff>166514</xdr:rowOff>
    </xdr:to>
    <xdr:sp macro="" textlink="">
      <xdr:nvSpPr>
        <xdr:cNvPr id="28" name="Rectángulo 27">
          <a:extLst>
            <a:ext uri="{FF2B5EF4-FFF2-40B4-BE49-F238E27FC236}">
              <a16:creationId xmlns:a16="http://schemas.microsoft.com/office/drawing/2014/main" id="{C983DA8E-BC8D-4161-807C-837900DBB44A}"/>
            </a:ext>
          </a:extLst>
        </xdr:cNvPr>
        <xdr:cNvSpPr/>
      </xdr:nvSpPr>
      <xdr:spPr>
        <a:xfrm>
          <a:off x="6293874" y="2712867"/>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28183</xdr:colOff>
      <xdr:row>18</xdr:row>
      <xdr:rowOff>26114</xdr:rowOff>
    </xdr:from>
    <xdr:to>
      <xdr:col>6</xdr:col>
      <xdr:colOff>805730</xdr:colOff>
      <xdr:row>18</xdr:row>
      <xdr:rowOff>184861</xdr:rowOff>
    </xdr:to>
    <xdr:sp macro="" textlink="">
      <xdr:nvSpPr>
        <xdr:cNvPr id="29" name="Rectángulo 28">
          <a:extLst>
            <a:ext uri="{FF2B5EF4-FFF2-40B4-BE49-F238E27FC236}">
              <a16:creationId xmlns:a16="http://schemas.microsoft.com/office/drawing/2014/main" id="{2D92FC3B-EB52-491A-80D6-63825258C430}"/>
            </a:ext>
          </a:extLst>
        </xdr:cNvPr>
        <xdr:cNvSpPr/>
      </xdr:nvSpPr>
      <xdr:spPr>
        <a:xfrm>
          <a:off x="6305158" y="2912189"/>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18305</xdr:colOff>
      <xdr:row>19</xdr:row>
      <xdr:rowOff>30348</xdr:rowOff>
    </xdr:from>
    <xdr:to>
      <xdr:col>6</xdr:col>
      <xdr:colOff>795852</xdr:colOff>
      <xdr:row>19</xdr:row>
      <xdr:rowOff>189095</xdr:rowOff>
    </xdr:to>
    <xdr:sp macro="" textlink="">
      <xdr:nvSpPr>
        <xdr:cNvPr id="30" name="Rectángulo 29">
          <a:extLst>
            <a:ext uri="{FF2B5EF4-FFF2-40B4-BE49-F238E27FC236}">
              <a16:creationId xmlns:a16="http://schemas.microsoft.com/office/drawing/2014/main" id="{33A4A6FA-94F2-4E98-BECE-514014A410B9}"/>
            </a:ext>
          </a:extLst>
        </xdr:cNvPr>
        <xdr:cNvSpPr/>
      </xdr:nvSpPr>
      <xdr:spPr>
        <a:xfrm>
          <a:off x="6295280" y="3106923"/>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8</xdr:col>
      <xdr:colOff>59243</xdr:colOff>
      <xdr:row>16</xdr:row>
      <xdr:rowOff>21876</xdr:rowOff>
    </xdr:from>
    <xdr:to>
      <xdr:col>8</xdr:col>
      <xdr:colOff>495977</xdr:colOff>
      <xdr:row>16</xdr:row>
      <xdr:rowOff>172158</xdr:rowOff>
    </xdr:to>
    <xdr:sp macro="" textlink="">
      <xdr:nvSpPr>
        <xdr:cNvPr id="31" name="Rectángulo 30">
          <a:extLst>
            <a:ext uri="{FF2B5EF4-FFF2-40B4-BE49-F238E27FC236}">
              <a16:creationId xmlns:a16="http://schemas.microsoft.com/office/drawing/2014/main" id="{4048241B-2966-4959-B814-F0E05B98099A}"/>
            </a:ext>
          </a:extLst>
        </xdr:cNvPr>
        <xdr:cNvSpPr/>
      </xdr:nvSpPr>
      <xdr:spPr>
        <a:xfrm>
          <a:off x="8022143" y="2526951"/>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10</xdr:col>
      <xdr:colOff>395088</xdr:colOff>
      <xdr:row>16</xdr:row>
      <xdr:rowOff>19054</xdr:rowOff>
    </xdr:from>
    <xdr:to>
      <xdr:col>11</xdr:col>
      <xdr:colOff>239155</xdr:colOff>
      <xdr:row>16</xdr:row>
      <xdr:rowOff>169336</xdr:rowOff>
    </xdr:to>
    <xdr:sp macro="" textlink="">
      <xdr:nvSpPr>
        <xdr:cNvPr id="32" name="Rectángulo 31">
          <a:extLst>
            <a:ext uri="{FF2B5EF4-FFF2-40B4-BE49-F238E27FC236}">
              <a16:creationId xmlns:a16="http://schemas.microsoft.com/office/drawing/2014/main" id="{C2A1400D-227A-41B8-A1B0-EC690732A176}"/>
            </a:ext>
          </a:extLst>
        </xdr:cNvPr>
        <xdr:cNvSpPr/>
      </xdr:nvSpPr>
      <xdr:spPr>
        <a:xfrm>
          <a:off x="9320013" y="2524129"/>
          <a:ext cx="434617"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18321</xdr:colOff>
      <xdr:row>17</xdr:row>
      <xdr:rowOff>23288</xdr:rowOff>
    </xdr:from>
    <xdr:to>
      <xdr:col>11</xdr:col>
      <xdr:colOff>373943</xdr:colOff>
      <xdr:row>17</xdr:row>
      <xdr:rowOff>162278</xdr:rowOff>
    </xdr:to>
    <xdr:sp macro="" textlink="">
      <xdr:nvSpPr>
        <xdr:cNvPr id="33" name="Rectángulo 32">
          <a:extLst>
            <a:ext uri="{FF2B5EF4-FFF2-40B4-BE49-F238E27FC236}">
              <a16:creationId xmlns:a16="http://schemas.microsoft.com/office/drawing/2014/main" id="{05A45018-3962-4FE3-8441-125421475846}"/>
            </a:ext>
          </a:extLst>
        </xdr:cNvPr>
        <xdr:cNvSpPr/>
      </xdr:nvSpPr>
      <xdr:spPr>
        <a:xfrm>
          <a:off x="8533671" y="2728388"/>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15506</xdr:colOff>
      <xdr:row>18</xdr:row>
      <xdr:rowOff>27518</xdr:rowOff>
    </xdr:from>
    <xdr:to>
      <xdr:col>11</xdr:col>
      <xdr:colOff>371128</xdr:colOff>
      <xdr:row>18</xdr:row>
      <xdr:rowOff>166508</xdr:rowOff>
    </xdr:to>
    <xdr:sp macro="" textlink="">
      <xdr:nvSpPr>
        <xdr:cNvPr id="34" name="Rectángulo 33">
          <a:extLst>
            <a:ext uri="{FF2B5EF4-FFF2-40B4-BE49-F238E27FC236}">
              <a16:creationId xmlns:a16="http://schemas.microsoft.com/office/drawing/2014/main" id="{95001E62-E02F-4846-A8C4-CF9ABD24FE97}"/>
            </a:ext>
          </a:extLst>
        </xdr:cNvPr>
        <xdr:cNvSpPr/>
      </xdr:nvSpPr>
      <xdr:spPr>
        <a:xfrm>
          <a:off x="8530856" y="2913593"/>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12684</xdr:colOff>
      <xdr:row>19</xdr:row>
      <xdr:rowOff>24696</xdr:rowOff>
    </xdr:from>
    <xdr:to>
      <xdr:col>11</xdr:col>
      <xdr:colOff>368306</xdr:colOff>
      <xdr:row>19</xdr:row>
      <xdr:rowOff>163686</xdr:rowOff>
    </xdr:to>
    <xdr:sp macro="" textlink="">
      <xdr:nvSpPr>
        <xdr:cNvPr id="35" name="Rectángulo 34">
          <a:extLst>
            <a:ext uri="{FF2B5EF4-FFF2-40B4-BE49-F238E27FC236}">
              <a16:creationId xmlns:a16="http://schemas.microsoft.com/office/drawing/2014/main" id="{329AE225-CCA7-4E60-980E-DA0673E6142D}"/>
            </a:ext>
          </a:extLst>
        </xdr:cNvPr>
        <xdr:cNvSpPr/>
      </xdr:nvSpPr>
      <xdr:spPr>
        <a:xfrm>
          <a:off x="8528034" y="3101271"/>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634994</xdr:colOff>
      <xdr:row>24</xdr:row>
      <xdr:rowOff>33162</xdr:rowOff>
    </xdr:from>
    <xdr:to>
      <xdr:col>2</xdr:col>
      <xdr:colOff>76894</xdr:colOff>
      <xdr:row>24</xdr:row>
      <xdr:rowOff>183444</xdr:rowOff>
    </xdr:to>
    <xdr:sp macro="" textlink="">
      <xdr:nvSpPr>
        <xdr:cNvPr id="36" name="Rectángulo 35">
          <a:extLst>
            <a:ext uri="{FF2B5EF4-FFF2-40B4-BE49-F238E27FC236}">
              <a16:creationId xmlns:a16="http://schemas.microsoft.com/office/drawing/2014/main" id="{361E3B00-9078-484D-8AEF-B988C461BF0E}"/>
            </a:ext>
          </a:extLst>
        </xdr:cNvPr>
        <xdr:cNvSpPr/>
      </xdr:nvSpPr>
      <xdr:spPr>
        <a:xfrm>
          <a:off x="949319" y="3919362"/>
          <a:ext cx="461075"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4927</xdr:colOff>
      <xdr:row>24</xdr:row>
      <xdr:rowOff>26519</xdr:rowOff>
    </xdr:from>
    <xdr:to>
      <xdr:col>1</xdr:col>
      <xdr:colOff>199161</xdr:colOff>
      <xdr:row>24</xdr:row>
      <xdr:rowOff>175932</xdr:rowOff>
    </xdr:to>
    <xdr:sp macro="" textlink="">
      <xdr:nvSpPr>
        <xdr:cNvPr id="37" name="Elipse 36">
          <a:extLst>
            <a:ext uri="{FF2B5EF4-FFF2-40B4-BE49-F238E27FC236}">
              <a16:creationId xmlns:a16="http://schemas.microsoft.com/office/drawing/2014/main" id="{1AA11C71-3080-4621-805A-A0E8B8CB2D79}"/>
            </a:ext>
          </a:extLst>
        </xdr:cNvPr>
        <xdr:cNvSpPr/>
      </xdr:nvSpPr>
      <xdr:spPr>
        <a:xfrm>
          <a:off x="319252" y="3912719"/>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364770</xdr:colOff>
      <xdr:row>24</xdr:row>
      <xdr:rowOff>19050</xdr:rowOff>
    </xdr:from>
    <xdr:to>
      <xdr:col>3</xdr:col>
      <xdr:colOff>559004</xdr:colOff>
      <xdr:row>24</xdr:row>
      <xdr:rowOff>168463</xdr:rowOff>
    </xdr:to>
    <xdr:sp macro="" textlink="">
      <xdr:nvSpPr>
        <xdr:cNvPr id="38" name="Elipse 37">
          <a:extLst>
            <a:ext uri="{FF2B5EF4-FFF2-40B4-BE49-F238E27FC236}">
              <a16:creationId xmlns:a16="http://schemas.microsoft.com/office/drawing/2014/main" id="{821E9D67-0A46-4B55-B8E8-6F432764DB14}"/>
            </a:ext>
          </a:extLst>
        </xdr:cNvPr>
        <xdr:cNvSpPr/>
      </xdr:nvSpPr>
      <xdr:spPr>
        <a:xfrm>
          <a:off x="3441345" y="3905250"/>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343610</xdr:colOff>
      <xdr:row>24</xdr:row>
      <xdr:rowOff>25805</xdr:rowOff>
    </xdr:from>
    <xdr:to>
      <xdr:col>2</xdr:col>
      <xdr:colOff>537844</xdr:colOff>
      <xdr:row>24</xdr:row>
      <xdr:rowOff>175218</xdr:rowOff>
    </xdr:to>
    <xdr:sp macro="" textlink="">
      <xdr:nvSpPr>
        <xdr:cNvPr id="39" name="Elipse 38">
          <a:extLst>
            <a:ext uri="{FF2B5EF4-FFF2-40B4-BE49-F238E27FC236}">
              <a16:creationId xmlns:a16="http://schemas.microsoft.com/office/drawing/2014/main" id="{6F6C60D8-9481-4004-9A96-BAAEE510C4AC}"/>
            </a:ext>
          </a:extLst>
        </xdr:cNvPr>
        <xdr:cNvSpPr/>
      </xdr:nvSpPr>
      <xdr:spPr>
        <a:xfrm>
          <a:off x="1677110" y="3912005"/>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984940</xdr:colOff>
      <xdr:row>24</xdr:row>
      <xdr:rowOff>37398</xdr:rowOff>
    </xdr:from>
    <xdr:to>
      <xdr:col>2</xdr:col>
      <xdr:colOff>1421674</xdr:colOff>
      <xdr:row>24</xdr:row>
      <xdr:rowOff>187680</xdr:rowOff>
    </xdr:to>
    <xdr:sp macro="" textlink="">
      <xdr:nvSpPr>
        <xdr:cNvPr id="40" name="Rectángulo 39">
          <a:extLst>
            <a:ext uri="{FF2B5EF4-FFF2-40B4-BE49-F238E27FC236}">
              <a16:creationId xmlns:a16="http://schemas.microsoft.com/office/drawing/2014/main" id="{ABDB94AA-B466-4C06-A59F-66C13D7AF4E2}"/>
            </a:ext>
          </a:extLst>
        </xdr:cNvPr>
        <xdr:cNvSpPr/>
      </xdr:nvSpPr>
      <xdr:spPr>
        <a:xfrm>
          <a:off x="2318440" y="3923598"/>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1052665</xdr:colOff>
      <xdr:row>24</xdr:row>
      <xdr:rowOff>27520</xdr:rowOff>
    </xdr:from>
    <xdr:to>
      <xdr:col>3</xdr:col>
      <xdr:colOff>1489399</xdr:colOff>
      <xdr:row>24</xdr:row>
      <xdr:rowOff>177802</xdr:rowOff>
    </xdr:to>
    <xdr:sp macro="" textlink="">
      <xdr:nvSpPr>
        <xdr:cNvPr id="41" name="Rectángulo 40">
          <a:extLst>
            <a:ext uri="{FF2B5EF4-FFF2-40B4-BE49-F238E27FC236}">
              <a16:creationId xmlns:a16="http://schemas.microsoft.com/office/drawing/2014/main" id="{4057CA54-AA32-4835-AEB9-17C359BF3F91}"/>
            </a:ext>
          </a:extLst>
        </xdr:cNvPr>
        <xdr:cNvSpPr/>
      </xdr:nvSpPr>
      <xdr:spPr>
        <a:xfrm>
          <a:off x="4129240" y="3913720"/>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1088670</xdr:colOff>
      <xdr:row>22</xdr:row>
      <xdr:rowOff>23283</xdr:rowOff>
    </xdr:from>
    <xdr:to>
      <xdr:col>2</xdr:col>
      <xdr:colOff>1282904</xdr:colOff>
      <xdr:row>22</xdr:row>
      <xdr:rowOff>172696</xdr:rowOff>
    </xdr:to>
    <xdr:sp macro="" textlink="">
      <xdr:nvSpPr>
        <xdr:cNvPr id="42" name="Elipse 41">
          <a:extLst>
            <a:ext uri="{FF2B5EF4-FFF2-40B4-BE49-F238E27FC236}">
              <a16:creationId xmlns:a16="http://schemas.microsoft.com/office/drawing/2014/main" id="{301CE626-343F-4E8C-8A09-78E708D6D5F4}"/>
            </a:ext>
          </a:extLst>
        </xdr:cNvPr>
        <xdr:cNvSpPr/>
      </xdr:nvSpPr>
      <xdr:spPr>
        <a:xfrm>
          <a:off x="2422170" y="3538008"/>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189065</xdr:colOff>
      <xdr:row>22</xdr:row>
      <xdr:rowOff>10587</xdr:rowOff>
    </xdr:from>
    <xdr:to>
      <xdr:col>3</xdr:col>
      <xdr:colOff>625799</xdr:colOff>
      <xdr:row>22</xdr:row>
      <xdr:rowOff>160869</xdr:rowOff>
    </xdr:to>
    <xdr:sp macro="" textlink="">
      <xdr:nvSpPr>
        <xdr:cNvPr id="43" name="Rectángulo 42">
          <a:extLst>
            <a:ext uri="{FF2B5EF4-FFF2-40B4-BE49-F238E27FC236}">
              <a16:creationId xmlns:a16="http://schemas.microsoft.com/office/drawing/2014/main" id="{789071FF-F474-4FAF-B126-0CE6B35FB2DF}"/>
            </a:ext>
          </a:extLst>
        </xdr:cNvPr>
        <xdr:cNvSpPr/>
      </xdr:nvSpPr>
      <xdr:spPr>
        <a:xfrm>
          <a:off x="3265640" y="3525312"/>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19731</xdr:colOff>
      <xdr:row>21</xdr:row>
      <xdr:rowOff>17642</xdr:rowOff>
    </xdr:from>
    <xdr:to>
      <xdr:col>6</xdr:col>
      <xdr:colOff>797278</xdr:colOff>
      <xdr:row>21</xdr:row>
      <xdr:rowOff>176389</xdr:rowOff>
    </xdr:to>
    <xdr:sp macro="" textlink="">
      <xdr:nvSpPr>
        <xdr:cNvPr id="44" name="Rectángulo 43">
          <a:extLst>
            <a:ext uri="{FF2B5EF4-FFF2-40B4-BE49-F238E27FC236}">
              <a16:creationId xmlns:a16="http://schemas.microsoft.com/office/drawing/2014/main" id="{93AE417F-101D-4006-B0DB-59AF356BB511}"/>
            </a:ext>
          </a:extLst>
        </xdr:cNvPr>
        <xdr:cNvSpPr/>
      </xdr:nvSpPr>
      <xdr:spPr>
        <a:xfrm>
          <a:off x="6296706" y="3341867"/>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16899</xdr:colOff>
      <xdr:row>22</xdr:row>
      <xdr:rowOff>7767</xdr:rowOff>
    </xdr:from>
    <xdr:to>
      <xdr:col>6</xdr:col>
      <xdr:colOff>794446</xdr:colOff>
      <xdr:row>22</xdr:row>
      <xdr:rowOff>166514</xdr:rowOff>
    </xdr:to>
    <xdr:sp macro="" textlink="">
      <xdr:nvSpPr>
        <xdr:cNvPr id="45" name="Rectángulo 44">
          <a:extLst>
            <a:ext uri="{FF2B5EF4-FFF2-40B4-BE49-F238E27FC236}">
              <a16:creationId xmlns:a16="http://schemas.microsoft.com/office/drawing/2014/main" id="{A3F8BD2C-C182-472F-9C63-319F109B34A7}"/>
            </a:ext>
          </a:extLst>
        </xdr:cNvPr>
        <xdr:cNvSpPr/>
      </xdr:nvSpPr>
      <xdr:spPr>
        <a:xfrm>
          <a:off x="6293874" y="3522492"/>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28183</xdr:colOff>
      <xdr:row>23</xdr:row>
      <xdr:rowOff>26114</xdr:rowOff>
    </xdr:from>
    <xdr:to>
      <xdr:col>6</xdr:col>
      <xdr:colOff>805730</xdr:colOff>
      <xdr:row>23</xdr:row>
      <xdr:rowOff>184861</xdr:rowOff>
    </xdr:to>
    <xdr:sp macro="" textlink="">
      <xdr:nvSpPr>
        <xdr:cNvPr id="46" name="Rectángulo 45">
          <a:extLst>
            <a:ext uri="{FF2B5EF4-FFF2-40B4-BE49-F238E27FC236}">
              <a16:creationId xmlns:a16="http://schemas.microsoft.com/office/drawing/2014/main" id="{1C40E522-0F35-4935-9A9E-B908D0F98339}"/>
            </a:ext>
          </a:extLst>
        </xdr:cNvPr>
        <xdr:cNvSpPr/>
      </xdr:nvSpPr>
      <xdr:spPr>
        <a:xfrm>
          <a:off x="6305158" y="3721814"/>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18305</xdr:colOff>
      <xdr:row>24</xdr:row>
      <xdr:rowOff>30348</xdr:rowOff>
    </xdr:from>
    <xdr:to>
      <xdr:col>6</xdr:col>
      <xdr:colOff>795852</xdr:colOff>
      <xdr:row>24</xdr:row>
      <xdr:rowOff>189095</xdr:rowOff>
    </xdr:to>
    <xdr:sp macro="" textlink="">
      <xdr:nvSpPr>
        <xdr:cNvPr id="47" name="Rectángulo 46">
          <a:extLst>
            <a:ext uri="{FF2B5EF4-FFF2-40B4-BE49-F238E27FC236}">
              <a16:creationId xmlns:a16="http://schemas.microsoft.com/office/drawing/2014/main" id="{DF19268E-0550-4C84-8092-9FED6A4A5F36}"/>
            </a:ext>
          </a:extLst>
        </xdr:cNvPr>
        <xdr:cNvSpPr/>
      </xdr:nvSpPr>
      <xdr:spPr>
        <a:xfrm>
          <a:off x="6295280" y="3916548"/>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8</xdr:col>
      <xdr:colOff>59243</xdr:colOff>
      <xdr:row>21</xdr:row>
      <xdr:rowOff>21876</xdr:rowOff>
    </xdr:from>
    <xdr:to>
      <xdr:col>8</xdr:col>
      <xdr:colOff>495977</xdr:colOff>
      <xdr:row>21</xdr:row>
      <xdr:rowOff>172158</xdr:rowOff>
    </xdr:to>
    <xdr:sp macro="" textlink="">
      <xdr:nvSpPr>
        <xdr:cNvPr id="48" name="Rectángulo 47">
          <a:extLst>
            <a:ext uri="{FF2B5EF4-FFF2-40B4-BE49-F238E27FC236}">
              <a16:creationId xmlns:a16="http://schemas.microsoft.com/office/drawing/2014/main" id="{D4A25617-FAC0-4076-BFF2-64B6D2896C47}"/>
            </a:ext>
          </a:extLst>
        </xdr:cNvPr>
        <xdr:cNvSpPr/>
      </xdr:nvSpPr>
      <xdr:spPr>
        <a:xfrm>
          <a:off x="8022143" y="3346101"/>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10</xdr:col>
      <xdr:colOff>395088</xdr:colOff>
      <xdr:row>21</xdr:row>
      <xdr:rowOff>19054</xdr:rowOff>
    </xdr:from>
    <xdr:to>
      <xdr:col>11</xdr:col>
      <xdr:colOff>239155</xdr:colOff>
      <xdr:row>21</xdr:row>
      <xdr:rowOff>169336</xdr:rowOff>
    </xdr:to>
    <xdr:sp macro="" textlink="">
      <xdr:nvSpPr>
        <xdr:cNvPr id="49" name="Rectángulo 48">
          <a:extLst>
            <a:ext uri="{FF2B5EF4-FFF2-40B4-BE49-F238E27FC236}">
              <a16:creationId xmlns:a16="http://schemas.microsoft.com/office/drawing/2014/main" id="{8D4E21B9-E7B3-442B-BE3D-A0CD33D07C93}"/>
            </a:ext>
          </a:extLst>
        </xdr:cNvPr>
        <xdr:cNvSpPr/>
      </xdr:nvSpPr>
      <xdr:spPr>
        <a:xfrm>
          <a:off x="9320013" y="3343279"/>
          <a:ext cx="434617"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18321</xdr:colOff>
      <xdr:row>22</xdr:row>
      <xdr:rowOff>23288</xdr:rowOff>
    </xdr:from>
    <xdr:to>
      <xdr:col>11</xdr:col>
      <xdr:colOff>373943</xdr:colOff>
      <xdr:row>22</xdr:row>
      <xdr:rowOff>162278</xdr:rowOff>
    </xdr:to>
    <xdr:sp macro="" textlink="">
      <xdr:nvSpPr>
        <xdr:cNvPr id="50" name="Rectángulo 49">
          <a:extLst>
            <a:ext uri="{FF2B5EF4-FFF2-40B4-BE49-F238E27FC236}">
              <a16:creationId xmlns:a16="http://schemas.microsoft.com/office/drawing/2014/main" id="{F17B91E9-7A38-475F-9BC3-4A2B0E5C8747}"/>
            </a:ext>
          </a:extLst>
        </xdr:cNvPr>
        <xdr:cNvSpPr/>
      </xdr:nvSpPr>
      <xdr:spPr>
        <a:xfrm>
          <a:off x="8533671" y="3538013"/>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15506</xdr:colOff>
      <xdr:row>23</xdr:row>
      <xdr:rowOff>27518</xdr:rowOff>
    </xdr:from>
    <xdr:to>
      <xdr:col>11</xdr:col>
      <xdr:colOff>371128</xdr:colOff>
      <xdr:row>23</xdr:row>
      <xdr:rowOff>166508</xdr:rowOff>
    </xdr:to>
    <xdr:sp macro="" textlink="">
      <xdr:nvSpPr>
        <xdr:cNvPr id="51" name="Rectángulo 50">
          <a:extLst>
            <a:ext uri="{FF2B5EF4-FFF2-40B4-BE49-F238E27FC236}">
              <a16:creationId xmlns:a16="http://schemas.microsoft.com/office/drawing/2014/main" id="{F70E1E4E-9C95-4D6D-B612-E1E426560DBB}"/>
            </a:ext>
          </a:extLst>
        </xdr:cNvPr>
        <xdr:cNvSpPr/>
      </xdr:nvSpPr>
      <xdr:spPr>
        <a:xfrm>
          <a:off x="8530856" y="3723218"/>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12684</xdr:colOff>
      <xdr:row>24</xdr:row>
      <xdr:rowOff>24696</xdr:rowOff>
    </xdr:from>
    <xdr:to>
      <xdr:col>11</xdr:col>
      <xdr:colOff>368306</xdr:colOff>
      <xdr:row>24</xdr:row>
      <xdr:rowOff>163686</xdr:rowOff>
    </xdr:to>
    <xdr:sp macro="" textlink="">
      <xdr:nvSpPr>
        <xdr:cNvPr id="52" name="Rectángulo 51">
          <a:extLst>
            <a:ext uri="{FF2B5EF4-FFF2-40B4-BE49-F238E27FC236}">
              <a16:creationId xmlns:a16="http://schemas.microsoft.com/office/drawing/2014/main" id="{8CF67D3F-29D0-4F26-9E6D-7C9CAA3A2940}"/>
            </a:ext>
          </a:extLst>
        </xdr:cNvPr>
        <xdr:cNvSpPr/>
      </xdr:nvSpPr>
      <xdr:spPr>
        <a:xfrm>
          <a:off x="8528034" y="3910896"/>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634994</xdr:colOff>
      <xdr:row>29</xdr:row>
      <xdr:rowOff>33162</xdr:rowOff>
    </xdr:from>
    <xdr:to>
      <xdr:col>2</xdr:col>
      <xdr:colOff>76894</xdr:colOff>
      <xdr:row>29</xdr:row>
      <xdr:rowOff>183444</xdr:rowOff>
    </xdr:to>
    <xdr:sp macro="" textlink="">
      <xdr:nvSpPr>
        <xdr:cNvPr id="53" name="Rectángulo 52">
          <a:extLst>
            <a:ext uri="{FF2B5EF4-FFF2-40B4-BE49-F238E27FC236}">
              <a16:creationId xmlns:a16="http://schemas.microsoft.com/office/drawing/2014/main" id="{8E09F973-DA9E-4AEE-9F26-319D5B7E5988}"/>
            </a:ext>
          </a:extLst>
        </xdr:cNvPr>
        <xdr:cNvSpPr/>
      </xdr:nvSpPr>
      <xdr:spPr>
        <a:xfrm>
          <a:off x="949319" y="4719462"/>
          <a:ext cx="461075"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4927</xdr:colOff>
      <xdr:row>29</xdr:row>
      <xdr:rowOff>26519</xdr:rowOff>
    </xdr:from>
    <xdr:to>
      <xdr:col>1</xdr:col>
      <xdr:colOff>199161</xdr:colOff>
      <xdr:row>29</xdr:row>
      <xdr:rowOff>175932</xdr:rowOff>
    </xdr:to>
    <xdr:sp macro="" textlink="">
      <xdr:nvSpPr>
        <xdr:cNvPr id="54" name="Elipse 53">
          <a:extLst>
            <a:ext uri="{FF2B5EF4-FFF2-40B4-BE49-F238E27FC236}">
              <a16:creationId xmlns:a16="http://schemas.microsoft.com/office/drawing/2014/main" id="{6D01DFE0-BC9A-4872-B973-79C0A9AA65E4}"/>
            </a:ext>
          </a:extLst>
        </xdr:cNvPr>
        <xdr:cNvSpPr/>
      </xdr:nvSpPr>
      <xdr:spPr>
        <a:xfrm>
          <a:off x="319252" y="4712819"/>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364770</xdr:colOff>
      <xdr:row>29</xdr:row>
      <xdr:rowOff>19050</xdr:rowOff>
    </xdr:from>
    <xdr:to>
      <xdr:col>3</xdr:col>
      <xdr:colOff>559004</xdr:colOff>
      <xdr:row>29</xdr:row>
      <xdr:rowOff>168463</xdr:rowOff>
    </xdr:to>
    <xdr:sp macro="" textlink="">
      <xdr:nvSpPr>
        <xdr:cNvPr id="55" name="Elipse 54">
          <a:extLst>
            <a:ext uri="{FF2B5EF4-FFF2-40B4-BE49-F238E27FC236}">
              <a16:creationId xmlns:a16="http://schemas.microsoft.com/office/drawing/2014/main" id="{18E07FAD-B826-4CDB-90E7-A29F381F6CB2}"/>
            </a:ext>
          </a:extLst>
        </xdr:cNvPr>
        <xdr:cNvSpPr/>
      </xdr:nvSpPr>
      <xdr:spPr>
        <a:xfrm>
          <a:off x="3441345" y="4705350"/>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343610</xdr:colOff>
      <xdr:row>29</xdr:row>
      <xdr:rowOff>25805</xdr:rowOff>
    </xdr:from>
    <xdr:to>
      <xdr:col>2</xdr:col>
      <xdr:colOff>537844</xdr:colOff>
      <xdr:row>29</xdr:row>
      <xdr:rowOff>175218</xdr:rowOff>
    </xdr:to>
    <xdr:sp macro="" textlink="">
      <xdr:nvSpPr>
        <xdr:cNvPr id="56" name="Elipse 55">
          <a:extLst>
            <a:ext uri="{FF2B5EF4-FFF2-40B4-BE49-F238E27FC236}">
              <a16:creationId xmlns:a16="http://schemas.microsoft.com/office/drawing/2014/main" id="{ACD23BD4-3233-4799-B9D0-63FCCC09A004}"/>
            </a:ext>
          </a:extLst>
        </xdr:cNvPr>
        <xdr:cNvSpPr/>
      </xdr:nvSpPr>
      <xdr:spPr>
        <a:xfrm>
          <a:off x="1677110" y="4712105"/>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984940</xdr:colOff>
      <xdr:row>29</xdr:row>
      <xdr:rowOff>37398</xdr:rowOff>
    </xdr:from>
    <xdr:to>
      <xdr:col>2</xdr:col>
      <xdr:colOff>1421674</xdr:colOff>
      <xdr:row>29</xdr:row>
      <xdr:rowOff>187680</xdr:rowOff>
    </xdr:to>
    <xdr:sp macro="" textlink="">
      <xdr:nvSpPr>
        <xdr:cNvPr id="57" name="Rectángulo 56">
          <a:extLst>
            <a:ext uri="{FF2B5EF4-FFF2-40B4-BE49-F238E27FC236}">
              <a16:creationId xmlns:a16="http://schemas.microsoft.com/office/drawing/2014/main" id="{B1AAE333-BA8D-4D81-B160-2C39F4FF49D1}"/>
            </a:ext>
          </a:extLst>
        </xdr:cNvPr>
        <xdr:cNvSpPr/>
      </xdr:nvSpPr>
      <xdr:spPr>
        <a:xfrm>
          <a:off x="2318440" y="4723698"/>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1052665</xdr:colOff>
      <xdr:row>29</xdr:row>
      <xdr:rowOff>27520</xdr:rowOff>
    </xdr:from>
    <xdr:to>
      <xdr:col>3</xdr:col>
      <xdr:colOff>1489399</xdr:colOff>
      <xdr:row>29</xdr:row>
      <xdr:rowOff>177802</xdr:rowOff>
    </xdr:to>
    <xdr:sp macro="" textlink="">
      <xdr:nvSpPr>
        <xdr:cNvPr id="58" name="Rectángulo 57">
          <a:extLst>
            <a:ext uri="{FF2B5EF4-FFF2-40B4-BE49-F238E27FC236}">
              <a16:creationId xmlns:a16="http://schemas.microsoft.com/office/drawing/2014/main" id="{EA5ADDC6-CB5D-4628-9AFE-63BF6397B629}"/>
            </a:ext>
          </a:extLst>
        </xdr:cNvPr>
        <xdr:cNvSpPr/>
      </xdr:nvSpPr>
      <xdr:spPr>
        <a:xfrm>
          <a:off x="4129240" y="4713820"/>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1088670</xdr:colOff>
      <xdr:row>27</xdr:row>
      <xdr:rowOff>23283</xdr:rowOff>
    </xdr:from>
    <xdr:to>
      <xdr:col>2</xdr:col>
      <xdr:colOff>1282904</xdr:colOff>
      <xdr:row>27</xdr:row>
      <xdr:rowOff>172696</xdr:rowOff>
    </xdr:to>
    <xdr:sp macro="" textlink="">
      <xdr:nvSpPr>
        <xdr:cNvPr id="59" name="Elipse 58">
          <a:extLst>
            <a:ext uri="{FF2B5EF4-FFF2-40B4-BE49-F238E27FC236}">
              <a16:creationId xmlns:a16="http://schemas.microsoft.com/office/drawing/2014/main" id="{164245A8-E07F-461C-9AD8-4867C2B7CAF3}"/>
            </a:ext>
          </a:extLst>
        </xdr:cNvPr>
        <xdr:cNvSpPr/>
      </xdr:nvSpPr>
      <xdr:spPr>
        <a:xfrm>
          <a:off x="2422170" y="4338108"/>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189065</xdr:colOff>
      <xdr:row>27</xdr:row>
      <xdr:rowOff>10587</xdr:rowOff>
    </xdr:from>
    <xdr:to>
      <xdr:col>3</xdr:col>
      <xdr:colOff>625799</xdr:colOff>
      <xdr:row>27</xdr:row>
      <xdr:rowOff>160869</xdr:rowOff>
    </xdr:to>
    <xdr:sp macro="" textlink="">
      <xdr:nvSpPr>
        <xdr:cNvPr id="60" name="Rectángulo 59">
          <a:extLst>
            <a:ext uri="{FF2B5EF4-FFF2-40B4-BE49-F238E27FC236}">
              <a16:creationId xmlns:a16="http://schemas.microsoft.com/office/drawing/2014/main" id="{D6CE80E7-0E0C-42ED-9BA9-52FA92090DAF}"/>
            </a:ext>
          </a:extLst>
        </xdr:cNvPr>
        <xdr:cNvSpPr/>
      </xdr:nvSpPr>
      <xdr:spPr>
        <a:xfrm>
          <a:off x="3265640" y="4325412"/>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19731</xdr:colOff>
      <xdr:row>26</xdr:row>
      <xdr:rowOff>17642</xdr:rowOff>
    </xdr:from>
    <xdr:to>
      <xdr:col>6</xdr:col>
      <xdr:colOff>797278</xdr:colOff>
      <xdr:row>26</xdr:row>
      <xdr:rowOff>176389</xdr:rowOff>
    </xdr:to>
    <xdr:sp macro="" textlink="">
      <xdr:nvSpPr>
        <xdr:cNvPr id="61" name="Rectángulo 60">
          <a:extLst>
            <a:ext uri="{FF2B5EF4-FFF2-40B4-BE49-F238E27FC236}">
              <a16:creationId xmlns:a16="http://schemas.microsoft.com/office/drawing/2014/main" id="{B2BD5043-28DE-46BE-A5D7-A2C89A634998}"/>
            </a:ext>
          </a:extLst>
        </xdr:cNvPr>
        <xdr:cNvSpPr/>
      </xdr:nvSpPr>
      <xdr:spPr>
        <a:xfrm>
          <a:off x="6296706" y="4141967"/>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16899</xdr:colOff>
      <xdr:row>27</xdr:row>
      <xdr:rowOff>7767</xdr:rowOff>
    </xdr:from>
    <xdr:to>
      <xdr:col>6</xdr:col>
      <xdr:colOff>794446</xdr:colOff>
      <xdr:row>27</xdr:row>
      <xdr:rowOff>166514</xdr:rowOff>
    </xdr:to>
    <xdr:sp macro="" textlink="">
      <xdr:nvSpPr>
        <xdr:cNvPr id="62" name="Rectángulo 61">
          <a:extLst>
            <a:ext uri="{FF2B5EF4-FFF2-40B4-BE49-F238E27FC236}">
              <a16:creationId xmlns:a16="http://schemas.microsoft.com/office/drawing/2014/main" id="{602F2A29-A952-459F-BCF8-51CA7810CEEE}"/>
            </a:ext>
          </a:extLst>
        </xdr:cNvPr>
        <xdr:cNvSpPr/>
      </xdr:nvSpPr>
      <xdr:spPr>
        <a:xfrm>
          <a:off x="6293874" y="4322592"/>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28183</xdr:colOff>
      <xdr:row>28</xdr:row>
      <xdr:rowOff>26114</xdr:rowOff>
    </xdr:from>
    <xdr:to>
      <xdr:col>6</xdr:col>
      <xdr:colOff>805730</xdr:colOff>
      <xdr:row>28</xdr:row>
      <xdr:rowOff>184861</xdr:rowOff>
    </xdr:to>
    <xdr:sp macro="" textlink="">
      <xdr:nvSpPr>
        <xdr:cNvPr id="63" name="Rectángulo 62">
          <a:extLst>
            <a:ext uri="{FF2B5EF4-FFF2-40B4-BE49-F238E27FC236}">
              <a16:creationId xmlns:a16="http://schemas.microsoft.com/office/drawing/2014/main" id="{0FD7D565-73AC-4AAA-8E53-D28E2379E911}"/>
            </a:ext>
          </a:extLst>
        </xdr:cNvPr>
        <xdr:cNvSpPr/>
      </xdr:nvSpPr>
      <xdr:spPr>
        <a:xfrm>
          <a:off x="6305158" y="4521914"/>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18305</xdr:colOff>
      <xdr:row>29</xdr:row>
      <xdr:rowOff>30348</xdr:rowOff>
    </xdr:from>
    <xdr:to>
      <xdr:col>6</xdr:col>
      <xdr:colOff>795852</xdr:colOff>
      <xdr:row>29</xdr:row>
      <xdr:rowOff>189095</xdr:rowOff>
    </xdr:to>
    <xdr:sp macro="" textlink="">
      <xdr:nvSpPr>
        <xdr:cNvPr id="64" name="Rectángulo 63">
          <a:extLst>
            <a:ext uri="{FF2B5EF4-FFF2-40B4-BE49-F238E27FC236}">
              <a16:creationId xmlns:a16="http://schemas.microsoft.com/office/drawing/2014/main" id="{74A2C69B-DD4A-476F-A537-8664388B659A}"/>
            </a:ext>
          </a:extLst>
        </xdr:cNvPr>
        <xdr:cNvSpPr/>
      </xdr:nvSpPr>
      <xdr:spPr>
        <a:xfrm>
          <a:off x="6295280" y="4716648"/>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8</xdr:col>
      <xdr:colOff>59243</xdr:colOff>
      <xdr:row>26</xdr:row>
      <xdr:rowOff>21876</xdr:rowOff>
    </xdr:from>
    <xdr:to>
      <xdr:col>8</xdr:col>
      <xdr:colOff>495977</xdr:colOff>
      <xdr:row>26</xdr:row>
      <xdr:rowOff>172158</xdr:rowOff>
    </xdr:to>
    <xdr:sp macro="" textlink="">
      <xdr:nvSpPr>
        <xdr:cNvPr id="65" name="Rectángulo 64">
          <a:extLst>
            <a:ext uri="{FF2B5EF4-FFF2-40B4-BE49-F238E27FC236}">
              <a16:creationId xmlns:a16="http://schemas.microsoft.com/office/drawing/2014/main" id="{A28CD358-C3ED-4BE3-9EC1-5D68F9F02BEF}"/>
            </a:ext>
          </a:extLst>
        </xdr:cNvPr>
        <xdr:cNvSpPr/>
      </xdr:nvSpPr>
      <xdr:spPr>
        <a:xfrm>
          <a:off x="8022143" y="4146201"/>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10</xdr:col>
      <xdr:colOff>395088</xdr:colOff>
      <xdr:row>26</xdr:row>
      <xdr:rowOff>19054</xdr:rowOff>
    </xdr:from>
    <xdr:to>
      <xdr:col>11</xdr:col>
      <xdr:colOff>239155</xdr:colOff>
      <xdr:row>26</xdr:row>
      <xdr:rowOff>169336</xdr:rowOff>
    </xdr:to>
    <xdr:sp macro="" textlink="">
      <xdr:nvSpPr>
        <xdr:cNvPr id="66" name="Rectángulo 65">
          <a:extLst>
            <a:ext uri="{FF2B5EF4-FFF2-40B4-BE49-F238E27FC236}">
              <a16:creationId xmlns:a16="http://schemas.microsoft.com/office/drawing/2014/main" id="{3C5CD2C1-42E3-4E8F-ACA4-277AB736E665}"/>
            </a:ext>
          </a:extLst>
        </xdr:cNvPr>
        <xdr:cNvSpPr/>
      </xdr:nvSpPr>
      <xdr:spPr>
        <a:xfrm>
          <a:off x="9320013" y="4143379"/>
          <a:ext cx="434617"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18321</xdr:colOff>
      <xdr:row>27</xdr:row>
      <xdr:rowOff>23288</xdr:rowOff>
    </xdr:from>
    <xdr:to>
      <xdr:col>11</xdr:col>
      <xdr:colOff>373943</xdr:colOff>
      <xdr:row>27</xdr:row>
      <xdr:rowOff>162278</xdr:rowOff>
    </xdr:to>
    <xdr:sp macro="" textlink="">
      <xdr:nvSpPr>
        <xdr:cNvPr id="67" name="Rectángulo 66">
          <a:extLst>
            <a:ext uri="{FF2B5EF4-FFF2-40B4-BE49-F238E27FC236}">
              <a16:creationId xmlns:a16="http://schemas.microsoft.com/office/drawing/2014/main" id="{068B300C-D156-468E-82DD-2C54B481FE91}"/>
            </a:ext>
          </a:extLst>
        </xdr:cNvPr>
        <xdr:cNvSpPr/>
      </xdr:nvSpPr>
      <xdr:spPr>
        <a:xfrm>
          <a:off x="8533671" y="4338113"/>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15506</xdr:colOff>
      <xdr:row>28</xdr:row>
      <xdr:rowOff>27518</xdr:rowOff>
    </xdr:from>
    <xdr:to>
      <xdr:col>11</xdr:col>
      <xdr:colOff>371128</xdr:colOff>
      <xdr:row>28</xdr:row>
      <xdr:rowOff>166508</xdr:rowOff>
    </xdr:to>
    <xdr:sp macro="" textlink="">
      <xdr:nvSpPr>
        <xdr:cNvPr id="68" name="Rectángulo 67">
          <a:extLst>
            <a:ext uri="{FF2B5EF4-FFF2-40B4-BE49-F238E27FC236}">
              <a16:creationId xmlns:a16="http://schemas.microsoft.com/office/drawing/2014/main" id="{44DE7AB7-5CB8-40FD-B801-647F16233FC7}"/>
            </a:ext>
          </a:extLst>
        </xdr:cNvPr>
        <xdr:cNvSpPr/>
      </xdr:nvSpPr>
      <xdr:spPr>
        <a:xfrm>
          <a:off x="8530856" y="4523318"/>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12684</xdr:colOff>
      <xdr:row>29</xdr:row>
      <xdr:rowOff>24696</xdr:rowOff>
    </xdr:from>
    <xdr:to>
      <xdr:col>11</xdr:col>
      <xdr:colOff>368306</xdr:colOff>
      <xdr:row>29</xdr:row>
      <xdr:rowOff>163686</xdr:rowOff>
    </xdr:to>
    <xdr:sp macro="" textlink="">
      <xdr:nvSpPr>
        <xdr:cNvPr id="69" name="Rectángulo 68">
          <a:extLst>
            <a:ext uri="{FF2B5EF4-FFF2-40B4-BE49-F238E27FC236}">
              <a16:creationId xmlns:a16="http://schemas.microsoft.com/office/drawing/2014/main" id="{2FA489C7-88FA-402A-8CA5-89ACC259EE15}"/>
            </a:ext>
          </a:extLst>
        </xdr:cNvPr>
        <xdr:cNvSpPr/>
      </xdr:nvSpPr>
      <xdr:spPr>
        <a:xfrm>
          <a:off x="8528034" y="4710996"/>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634994</xdr:colOff>
      <xdr:row>34</xdr:row>
      <xdr:rowOff>33162</xdr:rowOff>
    </xdr:from>
    <xdr:to>
      <xdr:col>2</xdr:col>
      <xdr:colOff>76894</xdr:colOff>
      <xdr:row>34</xdr:row>
      <xdr:rowOff>183444</xdr:rowOff>
    </xdr:to>
    <xdr:sp macro="" textlink="">
      <xdr:nvSpPr>
        <xdr:cNvPr id="70" name="Rectángulo 69">
          <a:extLst>
            <a:ext uri="{FF2B5EF4-FFF2-40B4-BE49-F238E27FC236}">
              <a16:creationId xmlns:a16="http://schemas.microsoft.com/office/drawing/2014/main" id="{D15A4110-8A95-4FE7-9614-341A39B5143B}"/>
            </a:ext>
          </a:extLst>
        </xdr:cNvPr>
        <xdr:cNvSpPr/>
      </xdr:nvSpPr>
      <xdr:spPr>
        <a:xfrm>
          <a:off x="949319" y="5519562"/>
          <a:ext cx="461075"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4927</xdr:colOff>
      <xdr:row>34</xdr:row>
      <xdr:rowOff>26519</xdr:rowOff>
    </xdr:from>
    <xdr:to>
      <xdr:col>1</xdr:col>
      <xdr:colOff>199161</xdr:colOff>
      <xdr:row>34</xdr:row>
      <xdr:rowOff>175932</xdr:rowOff>
    </xdr:to>
    <xdr:sp macro="" textlink="">
      <xdr:nvSpPr>
        <xdr:cNvPr id="71" name="Elipse 70">
          <a:extLst>
            <a:ext uri="{FF2B5EF4-FFF2-40B4-BE49-F238E27FC236}">
              <a16:creationId xmlns:a16="http://schemas.microsoft.com/office/drawing/2014/main" id="{29CEF74F-113F-491E-B9CC-B6D83A63539A}"/>
            </a:ext>
          </a:extLst>
        </xdr:cNvPr>
        <xdr:cNvSpPr/>
      </xdr:nvSpPr>
      <xdr:spPr>
        <a:xfrm>
          <a:off x="319252" y="5512919"/>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357714</xdr:colOff>
      <xdr:row>34</xdr:row>
      <xdr:rowOff>19050</xdr:rowOff>
    </xdr:from>
    <xdr:to>
      <xdr:col>3</xdr:col>
      <xdr:colOff>551948</xdr:colOff>
      <xdr:row>34</xdr:row>
      <xdr:rowOff>168463</xdr:rowOff>
    </xdr:to>
    <xdr:sp macro="" textlink="">
      <xdr:nvSpPr>
        <xdr:cNvPr id="72" name="Elipse 71">
          <a:extLst>
            <a:ext uri="{FF2B5EF4-FFF2-40B4-BE49-F238E27FC236}">
              <a16:creationId xmlns:a16="http://schemas.microsoft.com/office/drawing/2014/main" id="{33CB8861-3D12-445C-9702-49D13E2FB4BD}"/>
            </a:ext>
          </a:extLst>
        </xdr:cNvPr>
        <xdr:cNvSpPr/>
      </xdr:nvSpPr>
      <xdr:spPr>
        <a:xfrm>
          <a:off x="3434289" y="5505450"/>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343610</xdr:colOff>
      <xdr:row>34</xdr:row>
      <xdr:rowOff>25805</xdr:rowOff>
    </xdr:from>
    <xdr:to>
      <xdr:col>2</xdr:col>
      <xdr:colOff>537844</xdr:colOff>
      <xdr:row>34</xdr:row>
      <xdr:rowOff>175218</xdr:rowOff>
    </xdr:to>
    <xdr:sp macro="" textlink="">
      <xdr:nvSpPr>
        <xdr:cNvPr id="73" name="Elipse 72">
          <a:extLst>
            <a:ext uri="{FF2B5EF4-FFF2-40B4-BE49-F238E27FC236}">
              <a16:creationId xmlns:a16="http://schemas.microsoft.com/office/drawing/2014/main" id="{A70CCFA5-B2F7-4A13-A142-0F025A589A91}"/>
            </a:ext>
          </a:extLst>
        </xdr:cNvPr>
        <xdr:cNvSpPr/>
      </xdr:nvSpPr>
      <xdr:spPr>
        <a:xfrm>
          <a:off x="1677110" y="5512205"/>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984940</xdr:colOff>
      <xdr:row>34</xdr:row>
      <xdr:rowOff>37398</xdr:rowOff>
    </xdr:from>
    <xdr:to>
      <xdr:col>2</xdr:col>
      <xdr:colOff>1421674</xdr:colOff>
      <xdr:row>34</xdr:row>
      <xdr:rowOff>187680</xdr:rowOff>
    </xdr:to>
    <xdr:sp macro="" textlink="">
      <xdr:nvSpPr>
        <xdr:cNvPr id="74" name="Rectángulo 73">
          <a:extLst>
            <a:ext uri="{FF2B5EF4-FFF2-40B4-BE49-F238E27FC236}">
              <a16:creationId xmlns:a16="http://schemas.microsoft.com/office/drawing/2014/main" id="{18202808-3ED3-4BA7-B1CE-414D795E5A7A}"/>
            </a:ext>
          </a:extLst>
        </xdr:cNvPr>
        <xdr:cNvSpPr/>
      </xdr:nvSpPr>
      <xdr:spPr>
        <a:xfrm>
          <a:off x="2318440" y="5523798"/>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1052665</xdr:colOff>
      <xdr:row>34</xdr:row>
      <xdr:rowOff>27520</xdr:rowOff>
    </xdr:from>
    <xdr:to>
      <xdr:col>3</xdr:col>
      <xdr:colOff>1489399</xdr:colOff>
      <xdr:row>34</xdr:row>
      <xdr:rowOff>177802</xdr:rowOff>
    </xdr:to>
    <xdr:sp macro="" textlink="">
      <xdr:nvSpPr>
        <xdr:cNvPr id="75" name="Rectángulo 74">
          <a:extLst>
            <a:ext uri="{FF2B5EF4-FFF2-40B4-BE49-F238E27FC236}">
              <a16:creationId xmlns:a16="http://schemas.microsoft.com/office/drawing/2014/main" id="{A92D9256-55CD-494F-8D5C-AF3CF86BF451}"/>
            </a:ext>
          </a:extLst>
        </xdr:cNvPr>
        <xdr:cNvSpPr/>
      </xdr:nvSpPr>
      <xdr:spPr>
        <a:xfrm>
          <a:off x="4129240" y="5513920"/>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1088670</xdr:colOff>
      <xdr:row>32</xdr:row>
      <xdr:rowOff>23283</xdr:rowOff>
    </xdr:from>
    <xdr:to>
      <xdr:col>2</xdr:col>
      <xdr:colOff>1282904</xdr:colOff>
      <xdr:row>32</xdr:row>
      <xdr:rowOff>172696</xdr:rowOff>
    </xdr:to>
    <xdr:sp macro="" textlink="">
      <xdr:nvSpPr>
        <xdr:cNvPr id="76" name="Elipse 75">
          <a:extLst>
            <a:ext uri="{FF2B5EF4-FFF2-40B4-BE49-F238E27FC236}">
              <a16:creationId xmlns:a16="http://schemas.microsoft.com/office/drawing/2014/main" id="{35554419-7D70-4D3B-9E7F-E2DE501EAE67}"/>
            </a:ext>
          </a:extLst>
        </xdr:cNvPr>
        <xdr:cNvSpPr/>
      </xdr:nvSpPr>
      <xdr:spPr>
        <a:xfrm>
          <a:off x="2422170" y="5138208"/>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189065</xdr:colOff>
      <xdr:row>32</xdr:row>
      <xdr:rowOff>10587</xdr:rowOff>
    </xdr:from>
    <xdr:to>
      <xdr:col>3</xdr:col>
      <xdr:colOff>625799</xdr:colOff>
      <xdr:row>32</xdr:row>
      <xdr:rowOff>160869</xdr:rowOff>
    </xdr:to>
    <xdr:sp macro="" textlink="">
      <xdr:nvSpPr>
        <xdr:cNvPr id="77" name="Rectángulo 76">
          <a:extLst>
            <a:ext uri="{FF2B5EF4-FFF2-40B4-BE49-F238E27FC236}">
              <a16:creationId xmlns:a16="http://schemas.microsoft.com/office/drawing/2014/main" id="{72F3D264-8272-4B7B-83B2-44B289839674}"/>
            </a:ext>
          </a:extLst>
        </xdr:cNvPr>
        <xdr:cNvSpPr/>
      </xdr:nvSpPr>
      <xdr:spPr>
        <a:xfrm>
          <a:off x="3265640" y="5125512"/>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19731</xdr:colOff>
      <xdr:row>31</xdr:row>
      <xdr:rowOff>17642</xdr:rowOff>
    </xdr:from>
    <xdr:to>
      <xdr:col>6</xdr:col>
      <xdr:colOff>797278</xdr:colOff>
      <xdr:row>31</xdr:row>
      <xdr:rowOff>176389</xdr:rowOff>
    </xdr:to>
    <xdr:sp macro="" textlink="">
      <xdr:nvSpPr>
        <xdr:cNvPr id="78" name="Rectángulo 77">
          <a:extLst>
            <a:ext uri="{FF2B5EF4-FFF2-40B4-BE49-F238E27FC236}">
              <a16:creationId xmlns:a16="http://schemas.microsoft.com/office/drawing/2014/main" id="{E730547D-2FCB-4BC6-BC8E-7328528BBDBF}"/>
            </a:ext>
          </a:extLst>
        </xdr:cNvPr>
        <xdr:cNvSpPr/>
      </xdr:nvSpPr>
      <xdr:spPr>
        <a:xfrm>
          <a:off x="6296706" y="4942067"/>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16899</xdr:colOff>
      <xdr:row>32</xdr:row>
      <xdr:rowOff>7767</xdr:rowOff>
    </xdr:from>
    <xdr:to>
      <xdr:col>6</xdr:col>
      <xdr:colOff>794446</xdr:colOff>
      <xdr:row>32</xdr:row>
      <xdr:rowOff>166514</xdr:rowOff>
    </xdr:to>
    <xdr:sp macro="" textlink="">
      <xdr:nvSpPr>
        <xdr:cNvPr id="79" name="Rectángulo 78">
          <a:extLst>
            <a:ext uri="{FF2B5EF4-FFF2-40B4-BE49-F238E27FC236}">
              <a16:creationId xmlns:a16="http://schemas.microsoft.com/office/drawing/2014/main" id="{12FB699C-D981-486D-8EE8-8FFF5B6CA46F}"/>
            </a:ext>
          </a:extLst>
        </xdr:cNvPr>
        <xdr:cNvSpPr/>
      </xdr:nvSpPr>
      <xdr:spPr>
        <a:xfrm>
          <a:off x="6293874" y="5122692"/>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28183</xdr:colOff>
      <xdr:row>33</xdr:row>
      <xdr:rowOff>26114</xdr:rowOff>
    </xdr:from>
    <xdr:to>
      <xdr:col>6</xdr:col>
      <xdr:colOff>805730</xdr:colOff>
      <xdr:row>33</xdr:row>
      <xdr:rowOff>184861</xdr:rowOff>
    </xdr:to>
    <xdr:sp macro="" textlink="">
      <xdr:nvSpPr>
        <xdr:cNvPr id="80" name="Rectángulo 79">
          <a:extLst>
            <a:ext uri="{FF2B5EF4-FFF2-40B4-BE49-F238E27FC236}">
              <a16:creationId xmlns:a16="http://schemas.microsoft.com/office/drawing/2014/main" id="{3670A8A6-F2CB-49AE-9DE1-792249CADFC7}"/>
            </a:ext>
          </a:extLst>
        </xdr:cNvPr>
        <xdr:cNvSpPr/>
      </xdr:nvSpPr>
      <xdr:spPr>
        <a:xfrm>
          <a:off x="6305158" y="5322014"/>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18305</xdr:colOff>
      <xdr:row>34</xdr:row>
      <xdr:rowOff>30348</xdr:rowOff>
    </xdr:from>
    <xdr:to>
      <xdr:col>6</xdr:col>
      <xdr:colOff>795852</xdr:colOff>
      <xdr:row>34</xdr:row>
      <xdr:rowOff>189095</xdr:rowOff>
    </xdr:to>
    <xdr:sp macro="" textlink="">
      <xdr:nvSpPr>
        <xdr:cNvPr id="81" name="Rectángulo 80">
          <a:extLst>
            <a:ext uri="{FF2B5EF4-FFF2-40B4-BE49-F238E27FC236}">
              <a16:creationId xmlns:a16="http://schemas.microsoft.com/office/drawing/2014/main" id="{A5D2A9B0-40CC-43A4-9E2E-57AB2B635F17}"/>
            </a:ext>
          </a:extLst>
        </xdr:cNvPr>
        <xdr:cNvSpPr/>
      </xdr:nvSpPr>
      <xdr:spPr>
        <a:xfrm>
          <a:off x="6295280" y="5516748"/>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8</xdr:col>
      <xdr:colOff>59243</xdr:colOff>
      <xdr:row>31</xdr:row>
      <xdr:rowOff>21876</xdr:rowOff>
    </xdr:from>
    <xdr:to>
      <xdr:col>8</xdr:col>
      <xdr:colOff>495977</xdr:colOff>
      <xdr:row>31</xdr:row>
      <xdr:rowOff>172158</xdr:rowOff>
    </xdr:to>
    <xdr:sp macro="" textlink="">
      <xdr:nvSpPr>
        <xdr:cNvPr id="82" name="Rectángulo 81">
          <a:extLst>
            <a:ext uri="{FF2B5EF4-FFF2-40B4-BE49-F238E27FC236}">
              <a16:creationId xmlns:a16="http://schemas.microsoft.com/office/drawing/2014/main" id="{5BAD6048-4B4D-4F6F-804E-1D6D44A5978A}"/>
            </a:ext>
          </a:extLst>
        </xdr:cNvPr>
        <xdr:cNvSpPr/>
      </xdr:nvSpPr>
      <xdr:spPr>
        <a:xfrm>
          <a:off x="8022143" y="4946301"/>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10</xdr:col>
      <xdr:colOff>395088</xdr:colOff>
      <xdr:row>31</xdr:row>
      <xdr:rowOff>19054</xdr:rowOff>
    </xdr:from>
    <xdr:to>
      <xdr:col>11</xdr:col>
      <xdr:colOff>239155</xdr:colOff>
      <xdr:row>31</xdr:row>
      <xdr:rowOff>169336</xdr:rowOff>
    </xdr:to>
    <xdr:sp macro="" textlink="">
      <xdr:nvSpPr>
        <xdr:cNvPr id="83" name="Rectángulo 82">
          <a:extLst>
            <a:ext uri="{FF2B5EF4-FFF2-40B4-BE49-F238E27FC236}">
              <a16:creationId xmlns:a16="http://schemas.microsoft.com/office/drawing/2014/main" id="{1328019C-0D71-45DF-991B-A858D56EBF3D}"/>
            </a:ext>
          </a:extLst>
        </xdr:cNvPr>
        <xdr:cNvSpPr/>
      </xdr:nvSpPr>
      <xdr:spPr>
        <a:xfrm>
          <a:off x="9320013" y="4943479"/>
          <a:ext cx="434617"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18321</xdr:colOff>
      <xdr:row>32</xdr:row>
      <xdr:rowOff>23288</xdr:rowOff>
    </xdr:from>
    <xdr:to>
      <xdr:col>11</xdr:col>
      <xdr:colOff>373943</xdr:colOff>
      <xdr:row>32</xdr:row>
      <xdr:rowOff>162278</xdr:rowOff>
    </xdr:to>
    <xdr:sp macro="" textlink="">
      <xdr:nvSpPr>
        <xdr:cNvPr id="84" name="Rectángulo 83">
          <a:extLst>
            <a:ext uri="{FF2B5EF4-FFF2-40B4-BE49-F238E27FC236}">
              <a16:creationId xmlns:a16="http://schemas.microsoft.com/office/drawing/2014/main" id="{28E0CAB5-4D51-4177-BE22-F1D31E613A9E}"/>
            </a:ext>
          </a:extLst>
        </xdr:cNvPr>
        <xdr:cNvSpPr/>
      </xdr:nvSpPr>
      <xdr:spPr>
        <a:xfrm>
          <a:off x="8533671" y="5138213"/>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15506</xdr:colOff>
      <xdr:row>33</xdr:row>
      <xdr:rowOff>27518</xdr:rowOff>
    </xdr:from>
    <xdr:to>
      <xdr:col>11</xdr:col>
      <xdr:colOff>371128</xdr:colOff>
      <xdr:row>33</xdr:row>
      <xdr:rowOff>166508</xdr:rowOff>
    </xdr:to>
    <xdr:sp macro="" textlink="">
      <xdr:nvSpPr>
        <xdr:cNvPr id="85" name="Rectángulo 84">
          <a:extLst>
            <a:ext uri="{FF2B5EF4-FFF2-40B4-BE49-F238E27FC236}">
              <a16:creationId xmlns:a16="http://schemas.microsoft.com/office/drawing/2014/main" id="{F0CF604F-2F6F-42BB-8B9F-20569199E54D}"/>
            </a:ext>
          </a:extLst>
        </xdr:cNvPr>
        <xdr:cNvSpPr/>
      </xdr:nvSpPr>
      <xdr:spPr>
        <a:xfrm>
          <a:off x="8530856" y="5323418"/>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12684</xdr:colOff>
      <xdr:row>34</xdr:row>
      <xdr:rowOff>24696</xdr:rowOff>
    </xdr:from>
    <xdr:to>
      <xdr:col>11</xdr:col>
      <xdr:colOff>368306</xdr:colOff>
      <xdr:row>34</xdr:row>
      <xdr:rowOff>163686</xdr:rowOff>
    </xdr:to>
    <xdr:sp macro="" textlink="">
      <xdr:nvSpPr>
        <xdr:cNvPr id="86" name="Rectángulo 85">
          <a:extLst>
            <a:ext uri="{FF2B5EF4-FFF2-40B4-BE49-F238E27FC236}">
              <a16:creationId xmlns:a16="http://schemas.microsoft.com/office/drawing/2014/main" id="{1A038FD0-B3DC-451D-8073-08CA7E7C3600}"/>
            </a:ext>
          </a:extLst>
        </xdr:cNvPr>
        <xdr:cNvSpPr/>
      </xdr:nvSpPr>
      <xdr:spPr>
        <a:xfrm>
          <a:off x="8528034" y="5511096"/>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634994</xdr:colOff>
      <xdr:row>39</xdr:row>
      <xdr:rowOff>33162</xdr:rowOff>
    </xdr:from>
    <xdr:to>
      <xdr:col>2</xdr:col>
      <xdr:colOff>76894</xdr:colOff>
      <xdr:row>39</xdr:row>
      <xdr:rowOff>183444</xdr:rowOff>
    </xdr:to>
    <xdr:sp macro="" textlink="">
      <xdr:nvSpPr>
        <xdr:cNvPr id="87" name="Rectángulo 86">
          <a:extLst>
            <a:ext uri="{FF2B5EF4-FFF2-40B4-BE49-F238E27FC236}">
              <a16:creationId xmlns:a16="http://schemas.microsoft.com/office/drawing/2014/main" id="{2EF92B88-918C-4D98-A607-055D4FFD075A}"/>
            </a:ext>
          </a:extLst>
        </xdr:cNvPr>
        <xdr:cNvSpPr/>
      </xdr:nvSpPr>
      <xdr:spPr>
        <a:xfrm>
          <a:off x="949319" y="6319662"/>
          <a:ext cx="461075"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4927</xdr:colOff>
      <xdr:row>39</xdr:row>
      <xdr:rowOff>26519</xdr:rowOff>
    </xdr:from>
    <xdr:to>
      <xdr:col>1</xdr:col>
      <xdr:colOff>199161</xdr:colOff>
      <xdr:row>39</xdr:row>
      <xdr:rowOff>175932</xdr:rowOff>
    </xdr:to>
    <xdr:sp macro="" textlink="">
      <xdr:nvSpPr>
        <xdr:cNvPr id="88" name="Elipse 87">
          <a:extLst>
            <a:ext uri="{FF2B5EF4-FFF2-40B4-BE49-F238E27FC236}">
              <a16:creationId xmlns:a16="http://schemas.microsoft.com/office/drawing/2014/main" id="{CC2B805B-EF7F-468C-9367-1AB38553E271}"/>
            </a:ext>
          </a:extLst>
        </xdr:cNvPr>
        <xdr:cNvSpPr/>
      </xdr:nvSpPr>
      <xdr:spPr>
        <a:xfrm>
          <a:off x="319252" y="6313019"/>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364770</xdr:colOff>
      <xdr:row>39</xdr:row>
      <xdr:rowOff>19050</xdr:rowOff>
    </xdr:from>
    <xdr:to>
      <xdr:col>3</xdr:col>
      <xdr:colOff>559004</xdr:colOff>
      <xdr:row>39</xdr:row>
      <xdr:rowOff>168463</xdr:rowOff>
    </xdr:to>
    <xdr:sp macro="" textlink="">
      <xdr:nvSpPr>
        <xdr:cNvPr id="89" name="Elipse 88">
          <a:extLst>
            <a:ext uri="{FF2B5EF4-FFF2-40B4-BE49-F238E27FC236}">
              <a16:creationId xmlns:a16="http://schemas.microsoft.com/office/drawing/2014/main" id="{6E5C9C76-4C7C-462E-98E8-E49DF708A871}"/>
            </a:ext>
          </a:extLst>
        </xdr:cNvPr>
        <xdr:cNvSpPr/>
      </xdr:nvSpPr>
      <xdr:spPr>
        <a:xfrm>
          <a:off x="3441345" y="6305550"/>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343610</xdr:colOff>
      <xdr:row>39</xdr:row>
      <xdr:rowOff>25805</xdr:rowOff>
    </xdr:from>
    <xdr:to>
      <xdr:col>2</xdr:col>
      <xdr:colOff>537844</xdr:colOff>
      <xdr:row>39</xdr:row>
      <xdr:rowOff>175218</xdr:rowOff>
    </xdr:to>
    <xdr:sp macro="" textlink="">
      <xdr:nvSpPr>
        <xdr:cNvPr id="90" name="Elipse 89">
          <a:extLst>
            <a:ext uri="{FF2B5EF4-FFF2-40B4-BE49-F238E27FC236}">
              <a16:creationId xmlns:a16="http://schemas.microsoft.com/office/drawing/2014/main" id="{B24E3B31-7591-4999-8D33-031B58C0D5E5}"/>
            </a:ext>
          </a:extLst>
        </xdr:cNvPr>
        <xdr:cNvSpPr/>
      </xdr:nvSpPr>
      <xdr:spPr>
        <a:xfrm>
          <a:off x="1677110" y="6312305"/>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984940</xdr:colOff>
      <xdr:row>39</xdr:row>
      <xdr:rowOff>37398</xdr:rowOff>
    </xdr:from>
    <xdr:to>
      <xdr:col>2</xdr:col>
      <xdr:colOff>1421674</xdr:colOff>
      <xdr:row>39</xdr:row>
      <xdr:rowOff>187680</xdr:rowOff>
    </xdr:to>
    <xdr:sp macro="" textlink="">
      <xdr:nvSpPr>
        <xdr:cNvPr id="91" name="Rectángulo 90">
          <a:extLst>
            <a:ext uri="{FF2B5EF4-FFF2-40B4-BE49-F238E27FC236}">
              <a16:creationId xmlns:a16="http://schemas.microsoft.com/office/drawing/2014/main" id="{B45F44C2-04F2-4791-BBD6-E39908DCE799}"/>
            </a:ext>
          </a:extLst>
        </xdr:cNvPr>
        <xdr:cNvSpPr/>
      </xdr:nvSpPr>
      <xdr:spPr>
        <a:xfrm>
          <a:off x="2318440" y="6323898"/>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1052665</xdr:colOff>
      <xdr:row>39</xdr:row>
      <xdr:rowOff>27520</xdr:rowOff>
    </xdr:from>
    <xdr:to>
      <xdr:col>3</xdr:col>
      <xdr:colOff>1489399</xdr:colOff>
      <xdr:row>39</xdr:row>
      <xdr:rowOff>177802</xdr:rowOff>
    </xdr:to>
    <xdr:sp macro="" textlink="">
      <xdr:nvSpPr>
        <xdr:cNvPr id="92" name="Rectángulo 91">
          <a:extLst>
            <a:ext uri="{FF2B5EF4-FFF2-40B4-BE49-F238E27FC236}">
              <a16:creationId xmlns:a16="http://schemas.microsoft.com/office/drawing/2014/main" id="{F53F32D0-1435-4D7F-B526-504C9D11D6D9}"/>
            </a:ext>
          </a:extLst>
        </xdr:cNvPr>
        <xdr:cNvSpPr/>
      </xdr:nvSpPr>
      <xdr:spPr>
        <a:xfrm>
          <a:off x="4129240" y="6314020"/>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xdr:col>
      <xdr:colOff>1088670</xdr:colOff>
      <xdr:row>37</xdr:row>
      <xdr:rowOff>23283</xdr:rowOff>
    </xdr:from>
    <xdr:to>
      <xdr:col>2</xdr:col>
      <xdr:colOff>1282904</xdr:colOff>
      <xdr:row>37</xdr:row>
      <xdr:rowOff>172696</xdr:rowOff>
    </xdr:to>
    <xdr:sp macro="" textlink="">
      <xdr:nvSpPr>
        <xdr:cNvPr id="93" name="Elipse 92">
          <a:extLst>
            <a:ext uri="{FF2B5EF4-FFF2-40B4-BE49-F238E27FC236}">
              <a16:creationId xmlns:a16="http://schemas.microsoft.com/office/drawing/2014/main" id="{CA62B5A2-23AB-4D2F-B688-1A3F1CF93B07}"/>
            </a:ext>
          </a:extLst>
        </xdr:cNvPr>
        <xdr:cNvSpPr/>
      </xdr:nvSpPr>
      <xdr:spPr>
        <a:xfrm>
          <a:off x="2422170" y="5938308"/>
          <a:ext cx="194234" cy="149413"/>
        </a:xfrm>
        <a:prstGeom prst="ellipse">
          <a:avLst/>
        </a:prstGeom>
        <a:ln w="3175">
          <a:solidFill>
            <a:schemeClr val="tx1"/>
          </a:solidFill>
          <a:prstDash val="lg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3</xdr:col>
      <xdr:colOff>189065</xdr:colOff>
      <xdr:row>37</xdr:row>
      <xdr:rowOff>10587</xdr:rowOff>
    </xdr:from>
    <xdr:to>
      <xdr:col>3</xdr:col>
      <xdr:colOff>625799</xdr:colOff>
      <xdr:row>37</xdr:row>
      <xdr:rowOff>160869</xdr:rowOff>
    </xdr:to>
    <xdr:sp macro="" textlink="">
      <xdr:nvSpPr>
        <xdr:cNvPr id="94" name="Rectángulo 93">
          <a:extLst>
            <a:ext uri="{FF2B5EF4-FFF2-40B4-BE49-F238E27FC236}">
              <a16:creationId xmlns:a16="http://schemas.microsoft.com/office/drawing/2014/main" id="{7DFF63BE-310D-415E-BE64-7CFEC9B96093}"/>
            </a:ext>
          </a:extLst>
        </xdr:cNvPr>
        <xdr:cNvSpPr/>
      </xdr:nvSpPr>
      <xdr:spPr>
        <a:xfrm>
          <a:off x="3265640" y="5925612"/>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19731</xdr:colOff>
      <xdr:row>36</xdr:row>
      <xdr:rowOff>17642</xdr:rowOff>
    </xdr:from>
    <xdr:to>
      <xdr:col>6</xdr:col>
      <xdr:colOff>797278</xdr:colOff>
      <xdr:row>36</xdr:row>
      <xdr:rowOff>176389</xdr:rowOff>
    </xdr:to>
    <xdr:sp macro="" textlink="">
      <xdr:nvSpPr>
        <xdr:cNvPr id="95" name="Rectángulo 94">
          <a:extLst>
            <a:ext uri="{FF2B5EF4-FFF2-40B4-BE49-F238E27FC236}">
              <a16:creationId xmlns:a16="http://schemas.microsoft.com/office/drawing/2014/main" id="{0ECCF9D8-9259-4936-9C6B-36A71AB762DB}"/>
            </a:ext>
          </a:extLst>
        </xdr:cNvPr>
        <xdr:cNvSpPr/>
      </xdr:nvSpPr>
      <xdr:spPr>
        <a:xfrm>
          <a:off x="6296706" y="5742167"/>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16899</xdr:colOff>
      <xdr:row>37</xdr:row>
      <xdr:rowOff>7767</xdr:rowOff>
    </xdr:from>
    <xdr:to>
      <xdr:col>6</xdr:col>
      <xdr:colOff>794446</xdr:colOff>
      <xdr:row>37</xdr:row>
      <xdr:rowOff>166514</xdr:rowOff>
    </xdr:to>
    <xdr:sp macro="" textlink="">
      <xdr:nvSpPr>
        <xdr:cNvPr id="96" name="Rectángulo 95">
          <a:extLst>
            <a:ext uri="{FF2B5EF4-FFF2-40B4-BE49-F238E27FC236}">
              <a16:creationId xmlns:a16="http://schemas.microsoft.com/office/drawing/2014/main" id="{5729CC3A-68A1-477E-94DD-DAFC79C49829}"/>
            </a:ext>
          </a:extLst>
        </xdr:cNvPr>
        <xdr:cNvSpPr/>
      </xdr:nvSpPr>
      <xdr:spPr>
        <a:xfrm>
          <a:off x="6293874" y="5922792"/>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28183</xdr:colOff>
      <xdr:row>38</xdr:row>
      <xdr:rowOff>26114</xdr:rowOff>
    </xdr:from>
    <xdr:to>
      <xdr:col>6</xdr:col>
      <xdr:colOff>805730</xdr:colOff>
      <xdr:row>38</xdr:row>
      <xdr:rowOff>184861</xdr:rowOff>
    </xdr:to>
    <xdr:sp macro="" textlink="">
      <xdr:nvSpPr>
        <xdr:cNvPr id="97" name="Rectángulo 96">
          <a:extLst>
            <a:ext uri="{FF2B5EF4-FFF2-40B4-BE49-F238E27FC236}">
              <a16:creationId xmlns:a16="http://schemas.microsoft.com/office/drawing/2014/main" id="{DEE99F2C-F266-4ED5-93E6-E0FB10573FD7}"/>
            </a:ext>
          </a:extLst>
        </xdr:cNvPr>
        <xdr:cNvSpPr/>
      </xdr:nvSpPr>
      <xdr:spPr>
        <a:xfrm>
          <a:off x="6305158" y="6122114"/>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6</xdr:col>
      <xdr:colOff>18305</xdr:colOff>
      <xdr:row>39</xdr:row>
      <xdr:rowOff>30348</xdr:rowOff>
    </xdr:from>
    <xdr:to>
      <xdr:col>6</xdr:col>
      <xdr:colOff>795852</xdr:colOff>
      <xdr:row>39</xdr:row>
      <xdr:rowOff>189095</xdr:rowOff>
    </xdr:to>
    <xdr:sp macro="" textlink="">
      <xdr:nvSpPr>
        <xdr:cNvPr id="98" name="Rectángulo 97">
          <a:extLst>
            <a:ext uri="{FF2B5EF4-FFF2-40B4-BE49-F238E27FC236}">
              <a16:creationId xmlns:a16="http://schemas.microsoft.com/office/drawing/2014/main" id="{11E36501-05E5-4E0D-B0FA-AC412E334A19}"/>
            </a:ext>
          </a:extLst>
        </xdr:cNvPr>
        <xdr:cNvSpPr/>
      </xdr:nvSpPr>
      <xdr:spPr>
        <a:xfrm>
          <a:off x="6295280" y="6316848"/>
          <a:ext cx="777547" cy="158747"/>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8</xdr:col>
      <xdr:colOff>59243</xdr:colOff>
      <xdr:row>36</xdr:row>
      <xdr:rowOff>21876</xdr:rowOff>
    </xdr:from>
    <xdr:to>
      <xdr:col>8</xdr:col>
      <xdr:colOff>495977</xdr:colOff>
      <xdr:row>36</xdr:row>
      <xdr:rowOff>172158</xdr:rowOff>
    </xdr:to>
    <xdr:sp macro="" textlink="">
      <xdr:nvSpPr>
        <xdr:cNvPr id="99" name="Rectángulo 98">
          <a:extLst>
            <a:ext uri="{FF2B5EF4-FFF2-40B4-BE49-F238E27FC236}">
              <a16:creationId xmlns:a16="http://schemas.microsoft.com/office/drawing/2014/main" id="{DB805023-E91A-43A4-B109-1135B09403A3}"/>
            </a:ext>
          </a:extLst>
        </xdr:cNvPr>
        <xdr:cNvSpPr/>
      </xdr:nvSpPr>
      <xdr:spPr>
        <a:xfrm>
          <a:off x="8022143" y="5746401"/>
          <a:ext cx="436734"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10</xdr:col>
      <xdr:colOff>395088</xdr:colOff>
      <xdr:row>36</xdr:row>
      <xdr:rowOff>19054</xdr:rowOff>
    </xdr:from>
    <xdr:to>
      <xdr:col>11</xdr:col>
      <xdr:colOff>239155</xdr:colOff>
      <xdr:row>36</xdr:row>
      <xdr:rowOff>169336</xdr:rowOff>
    </xdr:to>
    <xdr:sp macro="" textlink="">
      <xdr:nvSpPr>
        <xdr:cNvPr id="100" name="Rectángulo 99">
          <a:extLst>
            <a:ext uri="{FF2B5EF4-FFF2-40B4-BE49-F238E27FC236}">
              <a16:creationId xmlns:a16="http://schemas.microsoft.com/office/drawing/2014/main" id="{3CC4BDF8-736C-4AE8-B4DB-011751D7A9A4}"/>
            </a:ext>
          </a:extLst>
        </xdr:cNvPr>
        <xdr:cNvSpPr/>
      </xdr:nvSpPr>
      <xdr:spPr>
        <a:xfrm>
          <a:off x="9320013" y="5743579"/>
          <a:ext cx="434617" cy="150282"/>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18321</xdr:colOff>
      <xdr:row>37</xdr:row>
      <xdr:rowOff>23288</xdr:rowOff>
    </xdr:from>
    <xdr:to>
      <xdr:col>11</xdr:col>
      <xdr:colOff>373943</xdr:colOff>
      <xdr:row>37</xdr:row>
      <xdr:rowOff>162278</xdr:rowOff>
    </xdr:to>
    <xdr:sp macro="" textlink="">
      <xdr:nvSpPr>
        <xdr:cNvPr id="101" name="Rectángulo 100">
          <a:extLst>
            <a:ext uri="{FF2B5EF4-FFF2-40B4-BE49-F238E27FC236}">
              <a16:creationId xmlns:a16="http://schemas.microsoft.com/office/drawing/2014/main" id="{6BFD269F-C4BD-4E4A-9F31-A037815C8474}"/>
            </a:ext>
          </a:extLst>
        </xdr:cNvPr>
        <xdr:cNvSpPr/>
      </xdr:nvSpPr>
      <xdr:spPr>
        <a:xfrm>
          <a:off x="8533671" y="5938313"/>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15506</xdr:colOff>
      <xdr:row>38</xdr:row>
      <xdr:rowOff>27518</xdr:rowOff>
    </xdr:from>
    <xdr:to>
      <xdr:col>11</xdr:col>
      <xdr:colOff>371128</xdr:colOff>
      <xdr:row>38</xdr:row>
      <xdr:rowOff>166508</xdr:rowOff>
    </xdr:to>
    <xdr:sp macro="" textlink="">
      <xdr:nvSpPr>
        <xdr:cNvPr id="102" name="Rectángulo 101">
          <a:extLst>
            <a:ext uri="{FF2B5EF4-FFF2-40B4-BE49-F238E27FC236}">
              <a16:creationId xmlns:a16="http://schemas.microsoft.com/office/drawing/2014/main" id="{F91494D2-7AD2-4898-96FB-07953F2E525D}"/>
            </a:ext>
          </a:extLst>
        </xdr:cNvPr>
        <xdr:cNvSpPr/>
      </xdr:nvSpPr>
      <xdr:spPr>
        <a:xfrm>
          <a:off x="8530856" y="6123518"/>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9</xdr:col>
      <xdr:colOff>12684</xdr:colOff>
      <xdr:row>39</xdr:row>
      <xdr:rowOff>24696</xdr:rowOff>
    </xdr:from>
    <xdr:to>
      <xdr:col>11</xdr:col>
      <xdr:colOff>368306</xdr:colOff>
      <xdr:row>39</xdr:row>
      <xdr:rowOff>163686</xdr:rowOff>
    </xdr:to>
    <xdr:sp macro="" textlink="">
      <xdr:nvSpPr>
        <xdr:cNvPr id="103" name="Rectángulo 102">
          <a:extLst>
            <a:ext uri="{FF2B5EF4-FFF2-40B4-BE49-F238E27FC236}">
              <a16:creationId xmlns:a16="http://schemas.microsoft.com/office/drawing/2014/main" id="{BD4F2DFA-F9B9-4BCA-A1C3-11DB444213BB}"/>
            </a:ext>
          </a:extLst>
        </xdr:cNvPr>
        <xdr:cNvSpPr/>
      </xdr:nvSpPr>
      <xdr:spPr>
        <a:xfrm>
          <a:off x="8528034" y="6311196"/>
          <a:ext cx="1355747" cy="138990"/>
        </a:xfrm>
        <a:prstGeom prst="rect">
          <a:avLst/>
        </a:prstGeom>
        <a:ln w="3175">
          <a:prstDash val="lg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461478</xdr:colOff>
      <xdr:row>1</xdr:row>
      <xdr:rowOff>140709</xdr:rowOff>
    </xdr:from>
    <xdr:to>
      <xdr:col>12</xdr:col>
      <xdr:colOff>586473</xdr:colOff>
      <xdr:row>4</xdr:row>
      <xdr:rowOff>20393</xdr:rowOff>
    </xdr:to>
    <xdr:pic>
      <xdr:nvPicPr>
        <xdr:cNvPr id="2" name="Imagen 1">
          <a:extLst>
            <a:ext uri="{FF2B5EF4-FFF2-40B4-BE49-F238E27FC236}">
              <a16:creationId xmlns:a16="http://schemas.microsoft.com/office/drawing/2014/main" id="{1C9C240C-F9A6-4E1D-8CB5-54A644B92B7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8222188" y="335539"/>
          <a:ext cx="785251" cy="46417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390524</xdr:colOff>
      <xdr:row>1</xdr:row>
      <xdr:rowOff>16044</xdr:rowOff>
    </xdr:from>
    <xdr:to>
      <xdr:col>11</xdr:col>
      <xdr:colOff>1172307</xdr:colOff>
      <xdr:row>3</xdr:row>
      <xdr:rowOff>112514</xdr:rowOff>
    </xdr:to>
    <xdr:pic>
      <xdr:nvPicPr>
        <xdr:cNvPr id="2" name="Imagen 1">
          <a:extLst>
            <a:ext uri="{FF2B5EF4-FFF2-40B4-BE49-F238E27FC236}">
              <a16:creationId xmlns:a16="http://schemas.microsoft.com/office/drawing/2014/main" id="{F4382DAB-0E59-470C-AB40-F89D367227B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8181974" y="206544"/>
          <a:ext cx="781783" cy="477470"/>
        </a:xfrm>
        <a:prstGeom prst="rect">
          <a:avLst/>
        </a:prstGeom>
        <a:noFill/>
        <a:ln>
          <a:noFill/>
        </a:ln>
        <a:extLst>
          <a:ext uri="{53640926-AAD7-44D8-BBD7-CCE9431645EC}">
            <a14:shadowObscured xmlns:a14="http://schemas.microsoft.com/office/drawing/2010/main"/>
          </a:ext>
        </a:extLst>
      </xdr:spPr>
    </xdr:pic>
    <xdr:clientData/>
  </xdr:twoCellAnchor>
  <xdr:twoCellAnchor>
    <xdr:from>
      <xdr:col>3</xdr:col>
      <xdr:colOff>453572</xdr:colOff>
      <xdr:row>8</xdr:row>
      <xdr:rowOff>9072</xdr:rowOff>
    </xdr:from>
    <xdr:to>
      <xdr:col>4</xdr:col>
      <xdr:colOff>54429</xdr:colOff>
      <xdr:row>8</xdr:row>
      <xdr:rowOff>226786</xdr:rowOff>
    </xdr:to>
    <xdr:sp macro="" textlink="">
      <xdr:nvSpPr>
        <xdr:cNvPr id="3" name="Elipse 2">
          <a:extLst>
            <a:ext uri="{FF2B5EF4-FFF2-40B4-BE49-F238E27FC236}">
              <a16:creationId xmlns:a16="http://schemas.microsoft.com/office/drawing/2014/main" id="{AF19188A-CB81-45CF-9415-63943621D522}"/>
            </a:ext>
          </a:extLst>
        </xdr:cNvPr>
        <xdr:cNvSpPr/>
      </xdr:nvSpPr>
      <xdr:spPr>
        <a:xfrm>
          <a:off x="3149147" y="1018722"/>
          <a:ext cx="239032" cy="217714"/>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xdr:from>
      <xdr:col>11</xdr:col>
      <xdr:colOff>497116</xdr:colOff>
      <xdr:row>7</xdr:row>
      <xdr:rowOff>179614</xdr:rowOff>
    </xdr:from>
    <xdr:to>
      <xdr:col>11</xdr:col>
      <xdr:colOff>742044</xdr:colOff>
      <xdr:row>8</xdr:row>
      <xdr:rowOff>215900</xdr:rowOff>
    </xdr:to>
    <xdr:sp macro="" textlink="">
      <xdr:nvSpPr>
        <xdr:cNvPr id="4" name="Elipse 3">
          <a:extLst>
            <a:ext uri="{FF2B5EF4-FFF2-40B4-BE49-F238E27FC236}">
              <a16:creationId xmlns:a16="http://schemas.microsoft.com/office/drawing/2014/main" id="{F5088C1D-399C-47AF-85FC-D435A685266E}"/>
            </a:ext>
          </a:extLst>
        </xdr:cNvPr>
        <xdr:cNvSpPr/>
      </xdr:nvSpPr>
      <xdr:spPr>
        <a:xfrm>
          <a:off x="8812441" y="998764"/>
          <a:ext cx="244928" cy="226786"/>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xdr:row>
      <xdr:rowOff>9524</xdr:rowOff>
    </xdr:from>
    <xdr:to>
      <xdr:col>1</xdr:col>
      <xdr:colOff>9071</xdr:colOff>
      <xdr:row>3</xdr:row>
      <xdr:rowOff>152399</xdr:rowOff>
    </xdr:to>
    <xdr:pic>
      <xdr:nvPicPr>
        <xdr:cNvPr id="2" name="Imagen 1">
          <a:extLst>
            <a:ext uri="{FF2B5EF4-FFF2-40B4-BE49-F238E27FC236}">
              <a16:creationId xmlns:a16="http://schemas.microsoft.com/office/drawing/2014/main" id="{5095D76F-3C71-4147-BCD1-BBAFDEA7AD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390525" y="390524"/>
          <a:ext cx="599621" cy="333375"/>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426358</xdr:colOff>
      <xdr:row>7</xdr:row>
      <xdr:rowOff>9072</xdr:rowOff>
    </xdr:from>
    <xdr:to>
      <xdr:col>3</xdr:col>
      <xdr:colOff>72573</xdr:colOff>
      <xdr:row>7</xdr:row>
      <xdr:rowOff>226787</xdr:rowOff>
    </xdr:to>
    <xdr:sp macro="" textlink="">
      <xdr:nvSpPr>
        <xdr:cNvPr id="3" name="Rectángulo: esquinas redondeadas 2">
          <a:extLst>
            <a:ext uri="{FF2B5EF4-FFF2-40B4-BE49-F238E27FC236}">
              <a16:creationId xmlns:a16="http://schemas.microsoft.com/office/drawing/2014/main" id="{F00EF326-D356-491B-BCA9-EC7C417BAF78}"/>
            </a:ext>
          </a:extLst>
        </xdr:cNvPr>
        <xdr:cNvSpPr/>
      </xdr:nvSpPr>
      <xdr:spPr>
        <a:xfrm>
          <a:off x="2912383" y="847272"/>
          <a:ext cx="455840" cy="2177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714374</xdr:colOff>
      <xdr:row>0</xdr:row>
      <xdr:rowOff>56989</xdr:rowOff>
    </xdr:from>
    <xdr:to>
      <xdr:col>4</xdr:col>
      <xdr:colOff>1311275</xdr:colOff>
      <xdr:row>1</xdr:row>
      <xdr:rowOff>161925</xdr:rowOff>
    </xdr:to>
    <xdr:pic>
      <xdr:nvPicPr>
        <xdr:cNvPr id="3" name="Imagen 2">
          <a:extLst>
            <a:ext uri="{FF2B5EF4-FFF2-40B4-BE49-F238E27FC236}">
              <a16:creationId xmlns:a16="http://schemas.microsoft.com/office/drawing/2014/main" id="{0CA532AF-1F1D-4C99-8CF7-70CAB1FFB3D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4657724" y="56989"/>
          <a:ext cx="596901" cy="285911"/>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160216</xdr:colOff>
      <xdr:row>0</xdr:row>
      <xdr:rowOff>48846</xdr:rowOff>
    </xdr:from>
    <xdr:to>
      <xdr:col>2</xdr:col>
      <xdr:colOff>915866</xdr:colOff>
      <xdr:row>2</xdr:row>
      <xdr:rowOff>112454</xdr:rowOff>
    </xdr:to>
    <xdr:pic>
      <xdr:nvPicPr>
        <xdr:cNvPr id="2" name="Imagen 1">
          <a:extLst>
            <a:ext uri="{FF2B5EF4-FFF2-40B4-BE49-F238E27FC236}">
              <a16:creationId xmlns:a16="http://schemas.microsoft.com/office/drawing/2014/main" id="{0BFD23D0-616D-46F9-A8C4-98C884916A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382" t="4939" r="13602" b="8761"/>
        <a:stretch>
          <a:fillRect/>
        </a:stretch>
      </xdr:blipFill>
      <xdr:spPr bwMode="auto">
        <a:xfrm>
          <a:off x="6498004" y="48846"/>
          <a:ext cx="755650" cy="454377"/>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0</xdr:col>
      <xdr:colOff>1301750</xdr:colOff>
      <xdr:row>12</xdr:row>
      <xdr:rowOff>127000</xdr:rowOff>
    </xdr:from>
    <xdr:to>
      <xdr:col>1</xdr:col>
      <xdr:colOff>1545430</xdr:colOff>
      <xdr:row>23</xdr:row>
      <xdr:rowOff>157672</xdr:rowOff>
    </xdr:to>
    <xdr:pic>
      <xdr:nvPicPr>
        <xdr:cNvPr id="3" name="Imagen 2">
          <a:extLst>
            <a:ext uri="{FF2B5EF4-FFF2-40B4-BE49-F238E27FC236}">
              <a16:creationId xmlns:a16="http://schemas.microsoft.com/office/drawing/2014/main" id="{0B13561E-9118-4865-96C8-CEF826A7E4F9}"/>
            </a:ext>
          </a:extLst>
        </xdr:cNvPr>
        <xdr:cNvPicPr>
          <a:picLocks noChangeAspect="1"/>
        </xdr:cNvPicPr>
      </xdr:nvPicPr>
      <xdr:blipFill rotWithShape="1">
        <a:blip xmlns:r="http://schemas.openxmlformats.org/officeDocument/2006/relationships" r:embed="rId2">
          <a:lum bright="70000" contrast="-70000"/>
          <a:alphaModFix amt="50000"/>
          <a:extLst>
            <a:ext uri="{28A0092B-C50C-407E-A947-70E740481C1C}">
              <a14:useLocalDpi xmlns:a14="http://schemas.microsoft.com/office/drawing/2010/main" val="0"/>
            </a:ext>
          </a:extLst>
        </a:blip>
        <a:srcRect l="23382" t="4939" r="13602" b="8761"/>
        <a:stretch>
          <a:fillRect/>
        </a:stretch>
      </xdr:blipFill>
      <xdr:spPr bwMode="auto">
        <a:xfrm>
          <a:off x="1301750" y="2460625"/>
          <a:ext cx="4859153" cy="3078183"/>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F234A9-E887-4DF2-A7A2-26630B387AB0}">
  <we:reference id="wa200009404" version="1.0.0.8" store="en-US" storeType="OMEX"/>
  <we:alternateReferences>
    <we:reference id="wa200009404" version="1.0.0.8" store="en-US" storeType="OMEX"/>
  </we:alternateReferences>
  <we:properties>
    <we:property name="claude.fileId" value="&quot;77bea2fd-3ada-424b-a723-24c49c3e401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zoomScale="110" zoomScaleNormal="110" workbookViewId="0">
      <selection sqref="A1:J10"/>
    </sheetView>
  </sheetViews>
  <sheetFormatPr baseColWidth="10" defaultColWidth="10.7109375" defaultRowHeight="15"/>
  <sheetData>
    <row r="1" spans="1:10" ht="15" customHeight="1">
      <c r="A1" s="234" t="s">
        <v>0</v>
      </c>
      <c r="B1" s="234"/>
      <c r="C1" s="234"/>
      <c r="D1" s="234"/>
      <c r="E1" s="234"/>
      <c r="F1" s="234"/>
      <c r="G1" s="234"/>
      <c r="H1" s="234"/>
      <c r="I1" s="234"/>
      <c r="J1" s="234"/>
    </row>
    <row r="2" spans="1:10" ht="15" customHeight="1">
      <c r="A2" s="234"/>
      <c r="B2" s="234"/>
      <c r="C2" s="234"/>
      <c r="D2" s="234"/>
      <c r="E2" s="234"/>
      <c r="F2" s="234"/>
      <c r="G2" s="234"/>
      <c r="H2" s="234"/>
      <c r="I2" s="234"/>
      <c r="J2" s="234"/>
    </row>
    <row r="3" spans="1:10" ht="15" customHeight="1">
      <c r="A3" s="234"/>
      <c r="B3" s="234"/>
      <c r="C3" s="234"/>
      <c r="D3" s="234"/>
      <c r="E3" s="234"/>
      <c r="F3" s="234"/>
      <c r="G3" s="234"/>
      <c r="H3" s="234"/>
      <c r="I3" s="234"/>
      <c r="J3" s="234"/>
    </row>
    <row r="4" spans="1:10" ht="15" customHeight="1">
      <c r="A4" s="234"/>
      <c r="B4" s="234"/>
      <c r="C4" s="234"/>
      <c r="D4" s="234"/>
      <c r="E4" s="234"/>
      <c r="F4" s="234"/>
      <c r="G4" s="234"/>
      <c r="H4" s="234"/>
      <c r="I4" s="234"/>
      <c r="J4" s="234"/>
    </row>
    <row r="5" spans="1:10" ht="15" customHeight="1">
      <c r="A5" s="234"/>
      <c r="B5" s="234"/>
      <c r="C5" s="234"/>
      <c r="D5" s="234"/>
      <c r="E5" s="234"/>
      <c r="F5" s="234"/>
      <c r="G5" s="234"/>
      <c r="H5" s="234"/>
      <c r="I5" s="234"/>
      <c r="J5" s="234"/>
    </row>
    <row r="6" spans="1:10" ht="15" customHeight="1">
      <c r="A6" s="234"/>
      <c r="B6" s="234"/>
      <c r="C6" s="234"/>
      <c r="D6" s="234"/>
      <c r="E6" s="234"/>
      <c r="F6" s="234"/>
      <c r="G6" s="234"/>
      <c r="H6" s="234"/>
      <c r="I6" s="234"/>
      <c r="J6" s="234"/>
    </row>
    <row r="7" spans="1:10" ht="15" customHeight="1">
      <c r="A7" s="234"/>
      <c r="B7" s="234"/>
      <c r="C7" s="234"/>
      <c r="D7" s="234"/>
      <c r="E7" s="234"/>
      <c r="F7" s="234"/>
      <c r="G7" s="234"/>
      <c r="H7" s="234"/>
      <c r="I7" s="234"/>
      <c r="J7" s="234"/>
    </row>
    <row r="8" spans="1:10" ht="15" customHeight="1">
      <c r="A8" s="234"/>
      <c r="B8" s="234"/>
      <c r="C8" s="234"/>
      <c r="D8" s="234"/>
      <c r="E8" s="234"/>
      <c r="F8" s="234"/>
      <c r="G8" s="234"/>
      <c r="H8" s="234"/>
      <c r="I8" s="234"/>
      <c r="J8" s="234"/>
    </row>
    <row r="9" spans="1:10" ht="15" customHeight="1">
      <c r="A9" s="234"/>
      <c r="B9" s="234"/>
      <c r="C9" s="234"/>
      <c r="D9" s="234"/>
      <c r="E9" s="234"/>
      <c r="F9" s="234"/>
      <c r="G9" s="234"/>
      <c r="H9" s="234"/>
      <c r="I9" s="234"/>
      <c r="J9" s="234"/>
    </row>
    <row r="10" spans="1:10" ht="15" customHeight="1">
      <c r="A10" s="234"/>
      <c r="B10" s="234"/>
      <c r="C10" s="234"/>
      <c r="D10" s="234"/>
      <c r="E10" s="234"/>
      <c r="F10" s="234"/>
      <c r="G10" s="234"/>
      <c r="H10" s="234"/>
      <c r="I10" s="234"/>
      <c r="J10" s="234"/>
    </row>
    <row r="11" spans="1:10" ht="15" customHeight="1">
      <c r="A11" s="1"/>
      <c r="B11" s="1"/>
      <c r="C11" s="1"/>
      <c r="D11" s="1"/>
      <c r="E11" s="1"/>
      <c r="F11" s="1"/>
      <c r="G11" s="1"/>
      <c r="H11" s="1"/>
      <c r="I11" s="1"/>
    </row>
    <row r="12" spans="1:10" ht="15" customHeight="1">
      <c r="A12" s="1"/>
      <c r="B12" s="1"/>
      <c r="C12" s="1"/>
      <c r="D12" s="1"/>
      <c r="E12" s="1"/>
      <c r="F12" s="1"/>
      <c r="G12" s="1"/>
      <c r="H12" s="1"/>
      <c r="I12" s="1"/>
    </row>
    <row r="13" spans="1:10" ht="15" customHeight="1">
      <c r="A13" s="1"/>
      <c r="B13" s="1"/>
      <c r="C13" s="1"/>
      <c r="D13" s="1"/>
      <c r="E13" s="1"/>
      <c r="F13" s="1"/>
      <c r="G13" s="1"/>
      <c r="H13" s="1"/>
      <c r="I13" s="1"/>
    </row>
    <row r="14" spans="1:10" ht="15" customHeight="1">
      <c r="A14" s="1"/>
      <c r="B14" s="1"/>
      <c r="C14" s="1"/>
      <c r="D14" s="1"/>
      <c r="E14" s="1"/>
      <c r="F14" s="1"/>
      <c r="G14" s="1"/>
      <c r="H14" s="1"/>
      <c r="I14" s="1"/>
    </row>
    <row r="15" spans="1:10" ht="15" customHeight="1">
      <c r="A15" s="1"/>
      <c r="B15" s="1"/>
      <c r="C15" s="1"/>
      <c r="D15" s="1"/>
      <c r="E15" s="1"/>
      <c r="F15" s="1"/>
      <c r="G15" s="1"/>
      <c r="H15" s="1"/>
      <c r="I15" s="1"/>
    </row>
    <row r="16" spans="1:10" ht="15" customHeight="1">
      <c r="A16" s="1"/>
      <c r="B16" s="1"/>
      <c r="C16" s="1"/>
      <c r="D16" s="1"/>
      <c r="E16" s="1"/>
      <c r="F16" s="1"/>
      <c r="G16" s="1"/>
      <c r="H16" s="1"/>
      <c r="I16" s="1"/>
      <c r="J16" s="24"/>
    </row>
    <row r="17" spans="1:10" ht="15" customHeight="1">
      <c r="A17" s="1"/>
      <c r="B17" s="1"/>
      <c r="C17" s="1"/>
      <c r="D17" s="1"/>
      <c r="E17" s="1"/>
      <c r="F17" s="1"/>
      <c r="G17" s="1"/>
      <c r="H17" s="1"/>
      <c r="I17" s="1"/>
      <c r="J17" s="24"/>
    </row>
    <row r="18" spans="1:10" ht="15" customHeight="1">
      <c r="A18" s="1"/>
      <c r="B18" s="1"/>
      <c r="C18" s="1"/>
      <c r="D18" s="1"/>
      <c r="E18" s="1"/>
      <c r="F18" s="1"/>
      <c r="G18" s="1"/>
      <c r="H18" s="1"/>
      <c r="I18" s="1"/>
      <c r="J18" s="24"/>
    </row>
    <row r="19" spans="1:10" ht="15" customHeight="1">
      <c r="A19" s="1"/>
      <c r="B19" s="1"/>
      <c r="C19" s="1"/>
      <c r="D19" s="1"/>
      <c r="E19" s="1"/>
      <c r="F19" s="1"/>
      <c r="G19" s="1"/>
      <c r="H19" s="1"/>
      <c r="I19" s="1"/>
      <c r="J19" s="24"/>
    </row>
    <row r="20" spans="1:10" ht="15" customHeight="1">
      <c r="A20" s="1"/>
      <c r="B20" s="1"/>
      <c r="C20" s="1"/>
      <c r="D20" s="1"/>
      <c r="E20" s="1"/>
      <c r="F20" s="1"/>
      <c r="G20" s="1"/>
      <c r="H20" s="1"/>
      <c r="I20" s="1"/>
      <c r="J20" s="24"/>
    </row>
    <row r="21" spans="1:10" ht="15" customHeight="1">
      <c r="A21" s="1"/>
      <c r="B21" s="1"/>
      <c r="C21" s="1"/>
      <c r="D21" s="1"/>
      <c r="E21" s="1"/>
      <c r="F21" s="1"/>
      <c r="G21" s="1"/>
      <c r="H21" s="1"/>
      <c r="I21" s="1"/>
      <c r="J21" s="24"/>
    </row>
    <row r="22" spans="1:10" ht="15" customHeight="1">
      <c r="A22" s="1"/>
      <c r="B22" s="1"/>
      <c r="C22" s="1"/>
      <c r="D22" s="1"/>
      <c r="E22" s="1"/>
      <c r="F22" s="1"/>
      <c r="G22" s="1"/>
      <c r="H22" s="1"/>
      <c r="I22" s="1"/>
      <c r="J22" s="24"/>
    </row>
    <row r="23" spans="1:10" ht="15" customHeight="1">
      <c r="A23" s="1"/>
      <c r="B23" s="1"/>
      <c r="C23" s="1"/>
      <c r="D23" s="1"/>
      <c r="E23" s="1"/>
      <c r="F23" s="1"/>
      <c r="G23" s="1"/>
      <c r="H23" s="1"/>
      <c r="I23" s="1"/>
      <c r="J23" s="24"/>
    </row>
    <row r="24" spans="1:10" ht="15" customHeight="1">
      <c r="A24" s="1"/>
      <c r="B24" s="1"/>
      <c r="C24" s="1"/>
      <c r="D24" s="1"/>
      <c r="E24" s="1"/>
      <c r="F24" s="1"/>
      <c r="G24" s="1"/>
      <c r="H24" s="1"/>
      <c r="I24" s="1"/>
      <c r="J24" s="24"/>
    </row>
    <row r="25" spans="1:10" ht="15" customHeight="1">
      <c r="A25" s="1"/>
      <c r="B25" s="1"/>
      <c r="C25" s="1"/>
      <c r="D25" s="1"/>
      <c r="E25" s="1"/>
      <c r="F25" s="1"/>
      <c r="G25" s="1"/>
      <c r="H25" s="1"/>
      <c r="I25" s="1"/>
      <c r="J25" s="1"/>
    </row>
    <row r="26" spans="1:10" ht="15" customHeight="1">
      <c r="A26" s="1"/>
      <c r="B26" s="1"/>
      <c r="C26" s="1"/>
      <c r="D26" s="1"/>
      <c r="E26" s="1"/>
      <c r="F26" s="1"/>
      <c r="G26" s="1"/>
      <c r="H26" s="1"/>
      <c r="I26" s="1"/>
      <c r="J26" s="1"/>
    </row>
    <row r="27" spans="1:10" ht="15" customHeight="1">
      <c r="A27" s="1"/>
      <c r="B27" s="1"/>
      <c r="C27" s="1"/>
      <c r="D27" s="1"/>
      <c r="E27" s="1"/>
      <c r="F27" s="1"/>
      <c r="G27" s="1"/>
      <c r="H27" s="1"/>
      <c r="I27" s="1"/>
      <c r="J27" s="1"/>
    </row>
    <row r="28" spans="1:10" ht="15" customHeight="1">
      <c r="A28" s="1"/>
      <c r="B28" s="1"/>
      <c r="C28" s="1"/>
      <c r="D28" s="1"/>
      <c r="E28" s="1"/>
      <c r="F28" s="1"/>
      <c r="G28" s="1"/>
      <c r="H28" s="1"/>
      <c r="I28" s="1"/>
      <c r="J28" s="1"/>
    </row>
    <row r="29" spans="1:10" ht="15" customHeight="1">
      <c r="A29" s="1"/>
      <c r="B29" s="1"/>
      <c r="C29" s="1"/>
      <c r="D29" s="1"/>
      <c r="E29" s="1"/>
      <c r="F29" s="1"/>
      <c r="G29" s="1"/>
      <c r="H29" s="1"/>
      <c r="I29" s="1"/>
      <c r="J29" s="1"/>
    </row>
    <row r="30" spans="1:10" ht="15" customHeight="1">
      <c r="A30" s="1"/>
      <c r="B30" s="1"/>
      <c r="C30" s="1"/>
      <c r="D30" s="1"/>
      <c r="E30" s="1"/>
      <c r="F30" s="1"/>
      <c r="G30" s="1"/>
      <c r="H30" s="1"/>
      <c r="I30" s="1"/>
      <c r="J30" s="1"/>
    </row>
  </sheetData>
  <mergeCells count="1">
    <mergeCell ref="A1:J10"/>
  </mergeCells>
  <pageMargins left="0.7" right="0.7" top="0.75" bottom="0.75" header="0.511811023622047" footer="0.511811023622047"/>
  <pageSetup paperSize="9" scale="76"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K19"/>
  <sheetViews>
    <sheetView showGridLines="0" zoomScale="80" zoomScaleNormal="80" workbookViewId="0">
      <selection activeCell="O11" sqref="O11"/>
    </sheetView>
  </sheetViews>
  <sheetFormatPr baseColWidth="10" defaultColWidth="11.42578125" defaultRowHeight="14.25"/>
  <cols>
    <col min="1" max="1" width="7.42578125" style="2" customWidth="1"/>
    <col min="2" max="16384" width="11.42578125" style="2"/>
  </cols>
  <sheetData>
    <row r="1" spans="2:11" ht="26.1" customHeight="1" thickTop="1">
      <c r="B1" s="241" t="s">
        <v>67</v>
      </c>
      <c r="C1" s="242"/>
      <c r="D1" s="242"/>
      <c r="E1" s="242"/>
      <c r="F1" s="242"/>
      <c r="G1" s="242"/>
      <c r="H1" s="242"/>
      <c r="I1" s="242"/>
      <c r="J1" s="242"/>
      <c r="K1" s="243"/>
    </row>
    <row r="2" spans="2:11" ht="27.95" customHeight="1">
      <c r="B2" s="244" t="s">
        <v>68</v>
      </c>
      <c r="C2" s="245"/>
      <c r="D2" s="245"/>
      <c r="E2" s="246" t="s">
        <v>57</v>
      </c>
      <c r="F2" s="247"/>
      <c r="G2" s="247"/>
      <c r="H2" s="247"/>
      <c r="I2" s="247"/>
      <c r="J2" s="247"/>
      <c r="K2" s="248"/>
    </row>
    <row r="3" spans="2:11">
      <c r="B3" s="28"/>
      <c r="K3" s="31"/>
    </row>
    <row r="4" spans="2:11" ht="23.25" customHeight="1" thickBot="1">
      <c r="B4" s="29" t="s">
        <v>1</v>
      </c>
      <c r="C4" s="3"/>
      <c r="D4" s="3"/>
      <c r="E4" s="3"/>
      <c r="F4" s="3"/>
      <c r="G4" s="3"/>
      <c r="H4" s="3"/>
      <c r="I4" s="3"/>
      <c r="J4" s="3"/>
      <c r="K4" s="32"/>
    </row>
    <row r="5" spans="2:11" ht="292.5" customHeight="1" thickBot="1">
      <c r="B5" s="238" t="s">
        <v>2</v>
      </c>
      <c r="C5" s="239"/>
      <c r="D5" s="239"/>
      <c r="E5" s="239"/>
      <c r="F5" s="239"/>
      <c r="G5" s="239"/>
      <c r="H5" s="239"/>
      <c r="I5" s="239"/>
      <c r="J5" s="239"/>
      <c r="K5" s="240"/>
    </row>
    <row r="6" spans="2:11" ht="17.25" customHeight="1">
      <c r="B6" s="30"/>
      <c r="C6" s="27"/>
      <c r="D6" s="27"/>
      <c r="E6" s="27"/>
      <c r="F6" s="27"/>
      <c r="G6" s="27"/>
      <c r="H6" s="27"/>
      <c r="I6" s="27"/>
      <c r="J6" s="27"/>
      <c r="K6" s="33"/>
    </row>
    <row r="7" spans="2:11" ht="33" customHeight="1" thickBot="1">
      <c r="B7" s="29" t="s">
        <v>3</v>
      </c>
      <c r="C7" s="27"/>
      <c r="D7" s="27"/>
      <c r="E7" s="27"/>
      <c r="F7" s="27"/>
      <c r="G7" s="27"/>
      <c r="H7" s="27"/>
      <c r="I7" s="27"/>
      <c r="J7" s="27"/>
      <c r="K7" s="33"/>
    </row>
    <row r="8" spans="2:11" ht="42.75" customHeight="1" thickBot="1">
      <c r="B8" s="238" t="s">
        <v>4</v>
      </c>
      <c r="C8" s="239"/>
      <c r="D8" s="239"/>
      <c r="E8" s="239"/>
      <c r="F8" s="239"/>
      <c r="G8" s="239"/>
      <c r="H8" s="239"/>
      <c r="I8" s="239"/>
      <c r="J8" s="239"/>
      <c r="K8" s="240"/>
    </row>
    <row r="9" spans="2:11" ht="18.75" customHeight="1">
      <c r="B9" s="30"/>
      <c r="C9" s="27"/>
      <c r="D9" s="27"/>
      <c r="E9" s="27"/>
      <c r="F9" s="27"/>
      <c r="G9" s="27"/>
      <c r="H9" s="27"/>
      <c r="I9" s="27"/>
      <c r="J9" s="27"/>
      <c r="K9" s="33"/>
    </row>
    <row r="10" spans="2:11" ht="23.25" customHeight="1" thickBot="1">
      <c r="B10" s="29" t="s">
        <v>5</v>
      </c>
      <c r="C10" s="3"/>
      <c r="D10" s="3"/>
      <c r="E10" s="3"/>
      <c r="F10" s="3"/>
      <c r="G10" s="3"/>
      <c r="H10" s="3"/>
      <c r="I10" s="3"/>
      <c r="J10" s="3"/>
      <c r="K10" s="32"/>
    </row>
    <row r="11" spans="2:11" ht="129" customHeight="1" thickBot="1">
      <c r="B11" s="238" t="s">
        <v>6</v>
      </c>
      <c r="C11" s="239"/>
      <c r="D11" s="239"/>
      <c r="E11" s="239"/>
      <c r="F11" s="239"/>
      <c r="G11" s="239"/>
      <c r="H11" s="239"/>
      <c r="I11" s="239"/>
      <c r="J11" s="239"/>
      <c r="K11" s="240"/>
    </row>
    <row r="12" spans="2:11" ht="14.25" customHeight="1" thickBot="1">
      <c r="B12" s="238"/>
      <c r="C12" s="239"/>
      <c r="D12" s="239"/>
      <c r="E12" s="239"/>
      <c r="F12" s="239"/>
      <c r="G12" s="239"/>
      <c r="H12" s="239"/>
      <c r="I12" s="239"/>
      <c r="J12" s="239"/>
      <c r="K12" s="240"/>
    </row>
    <row r="13" spans="2:11" ht="14.25" customHeight="1" thickBot="1">
      <c r="B13" s="238"/>
      <c r="C13" s="239"/>
      <c r="D13" s="239"/>
      <c r="E13" s="239"/>
      <c r="F13" s="239"/>
      <c r="G13" s="239"/>
      <c r="H13" s="239"/>
      <c r="I13" s="239"/>
      <c r="J13" s="239"/>
      <c r="K13" s="240"/>
    </row>
    <row r="14" spans="2:11" ht="14.25" customHeight="1" thickBot="1">
      <c r="B14" s="238"/>
      <c r="C14" s="239"/>
      <c r="D14" s="239"/>
      <c r="E14" s="239"/>
      <c r="F14" s="239"/>
      <c r="G14" s="239"/>
      <c r="H14" s="239"/>
      <c r="I14" s="239"/>
      <c r="J14" s="239"/>
      <c r="K14" s="240"/>
    </row>
    <row r="15" spans="2:11" ht="14.25" customHeight="1" thickBot="1">
      <c r="B15" s="238"/>
      <c r="C15" s="239"/>
      <c r="D15" s="239"/>
      <c r="E15" s="239"/>
      <c r="F15" s="239"/>
      <c r="G15" s="239"/>
      <c r="H15" s="239"/>
      <c r="I15" s="239"/>
      <c r="J15" s="239"/>
      <c r="K15" s="240"/>
    </row>
    <row r="16" spans="2:11" ht="14.25" customHeight="1" thickBot="1">
      <c r="B16" s="238"/>
      <c r="C16" s="239"/>
      <c r="D16" s="239"/>
      <c r="E16" s="239"/>
      <c r="F16" s="239"/>
      <c r="G16" s="239"/>
      <c r="H16" s="239"/>
      <c r="I16" s="239"/>
      <c r="J16" s="239"/>
      <c r="K16" s="240"/>
    </row>
    <row r="17" spans="2:11" ht="110.25" customHeight="1" thickBot="1">
      <c r="B17" s="238"/>
      <c r="C17" s="239"/>
      <c r="D17" s="239"/>
      <c r="E17" s="239"/>
      <c r="F17" s="239"/>
      <c r="G17" s="239"/>
      <c r="H17" s="239"/>
      <c r="I17" s="239"/>
      <c r="J17" s="239"/>
      <c r="K17" s="240"/>
    </row>
    <row r="18" spans="2:11" ht="15.95" customHeight="1" thickBot="1">
      <c r="B18" s="235" t="s">
        <v>69</v>
      </c>
      <c r="C18" s="236"/>
      <c r="D18" s="236"/>
      <c r="E18" s="236"/>
      <c r="F18" s="236"/>
      <c r="G18" s="236"/>
      <c r="H18" s="236"/>
      <c r="I18" s="236"/>
      <c r="J18" s="236"/>
      <c r="K18" s="237"/>
    </row>
    <row r="19" spans="2:11" ht="15" thickTop="1"/>
  </sheetData>
  <mergeCells count="7">
    <mergeCell ref="B18:K18"/>
    <mergeCell ref="B5:K5"/>
    <mergeCell ref="B8:K8"/>
    <mergeCell ref="B11:K17"/>
    <mergeCell ref="B1:K1"/>
    <mergeCell ref="B2:D2"/>
    <mergeCell ref="E2:K2"/>
  </mergeCells>
  <printOptions horizontalCentered="1"/>
  <pageMargins left="0.7" right="0.7" top="0.75" bottom="0.75" header="0.511811023622047" footer="0.511811023622047"/>
  <pageSetup scale="7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18"/>
  <sheetViews>
    <sheetView showGridLines="0" zoomScale="80" zoomScaleNormal="80" workbookViewId="0">
      <selection activeCell="J14" sqref="J14"/>
    </sheetView>
  </sheetViews>
  <sheetFormatPr baseColWidth="10" defaultColWidth="11.42578125" defaultRowHeight="15.75"/>
  <cols>
    <col min="1" max="1" width="6.5703125" style="63" customWidth="1"/>
    <col min="2" max="2" width="11.42578125" style="65" customWidth="1"/>
    <col min="3" max="5" width="11.42578125" style="63"/>
    <col min="6" max="6" width="45" style="63" customWidth="1"/>
    <col min="7" max="16384" width="11.42578125" style="63"/>
  </cols>
  <sheetData>
    <row r="1" spans="2:10" ht="26.1" customHeight="1">
      <c r="B1" s="257" t="s">
        <v>70</v>
      </c>
      <c r="C1" s="258"/>
      <c r="D1" s="258"/>
      <c r="E1" s="258"/>
      <c r="F1" s="259"/>
    </row>
    <row r="2" spans="2:10" ht="36.75" customHeight="1" thickBot="1">
      <c r="B2" s="260" t="s">
        <v>71</v>
      </c>
      <c r="C2" s="261"/>
      <c r="D2" s="261"/>
      <c r="E2" s="262" t="s">
        <v>57</v>
      </c>
      <c r="F2" s="263"/>
    </row>
    <row r="3" spans="2:10" ht="16.5" customHeight="1" thickBot="1">
      <c r="B3" s="264" t="s">
        <v>7</v>
      </c>
      <c r="C3" s="264"/>
      <c r="D3" s="264"/>
      <c r="E3" s="264"/>
      <c r="F3" s="264"/>
      <c r="G3" s="64"/>
      <c r="H3" s="64"/>
      <c r="I3" s="64"/>
      <c r="J3" s="64"/>
    </row>
    <row r="4" spans="2:10" ht="18.75" customHeight="1" thickBot="1">
      <c r="B4" s="249"/>
      <c r="C4" s="250"/>
      <c r="D4" s="250"/>
      <c r="E4" s="250"/>
      <c r="F4" s="251"/>
      <c r="G4" s="64"/>
      <c r="H4" s="64"/>
      <c r="I4" s="64"/>
      <c r="J4" s="64"/>
    </row>
    <row r="5" spans="2:10" ht="15.75" customHeight="1" thickBot="1">
      <c r="B5" s="69">
        <v>1</v>
      </c>
      <c r="C5" s="252" t="s">
        <v>72</v>
      </c>
      <c r="D5" s="252"/>
      <c r="E5" s="252"/>
      <c r="F5" s="253"/>
      <c r="G5" s="64"/>
      <c r="H5" s="64"/>
      <c r="I5" s="64"/>
      <c r="J5" s="64"/>
    </row>
    <row r="6" spans="2:10" ht="18" customHeight="1">
      <c r="B6" s="68" t="s">
        <v>8</v>
      </c>
      <c r="C6" s="254" t="s">
        <v>256</v>
      </c>
      <c r="D6" s="255"/>
      <c r="E6" s="255"/>
      <c r="F6" s="256"/>
      <c r="G6" s="64"/>
      <c r="H6" s="64"/>
      <c r="I6" s="64"/>
      <c r="J6" s="64"/>
    </row>
    <row r="7" spans="2:10" ht="28.5" customHeight="1" thickBot="1">
      <c r="B7" s="66" t="s">
        <v>283</v>
      </c>
      <c r="C7" s="254" t="s">
        <v>255</v>
      </c>
      <c r="D7" s="255"/>
      <c r="E7" s="255"/>
      <c r="F7" s="256"/>
      <c r="G7" s="64"/>
      <c r="H7" s="64"/>
      <c r="I7" s="64"/>
      <c r="J7" s="64"/>
    </row>
    <row r="8" spans="2:10" ht="15.75" customHeight="1" thickBot="1">
      <c r="B8" s="207">
        <v>2</v>
      </c>
      <c r="C8" s="274" t="s">
        <v>73</v>
      </c>
      <c r="D8" s="274"/>
      <c r="E8" s="274"/>
      <c r="F8" s="275"/>
      <c r="G8" s="64"/>
      <c r="H8" s="64"/>
      <c r="I8" s="64"/>
      <c r="J8" s="64"/>
    </row>
    <row r="9" spans="2:10" ht="15.75" customHeight="1">
      <c r="B9" s="66" t="s">
        <v>9</v>
      </c>
      <c r="C9" s="276" t="s">
        <v>10</v>
      </c>
      <c r="D9" s="276"/>
      <c r="E9" s="276"/>
      <c r="F9" s="277"/>
      <c r="G9" s="64"/>
      <c r="H9" s="64"/>
      <c r="I9" s="64"/>
      <c r="J9" s="64"/>
    </row>
    <row r="10" spans="2:10" ht="30.75" customHeight="1">
      <c r="B10" s="67" t="s">
        <v>11</v>
      </c>
      <c r="C10" s="254" t="s">
        <v>284</v>
      </c>
      <c r="D10" s="254"/>
      <c r="E10" s="254"/>
      <c r="F10" s="256"/>
      <c r="G10" s="64"/>
      <c r="H10" s="64"/>
      <c r="I10" s="64"/>
      <c r="J10" s="64"/>
    </row>
    <row r="11" spans="2:10" ht="15.75" customHeight="1">
      <c r="B11" s="66" t="s">
        <v>12</v>
      </c>
      <c r="C11" s="272" t="s">
        <v>222</v>
      </c>
      <c r="D11" s="272"/>
      <c r="E11" s="272"/>
      <c r="F11" s="273"/>
      <c r="G11" s="64"/>
      <c r="H11" s="64"/>
      <c r="I11" s="64"/>
      <c r="J11" s="64"/>
    </row>
    <row r="12" spans="2:10" ht="35.25" customHeight="1">
      <c r="B12" s="66" t="s">
        <v>13</v>
      </c>
      <c r="C12" s="270" t="s">
        <v>223</v>
      </c>
      <c r="D12" s="270"/>
      <c r="E12" s="270"/>
      <c r="F12" s="271"/>
      <c r="G12" s="64"/>
      <c r="H12" s="64"/>
      <c r="I12" s="64"/>
      <c r="J12" s="64"/>
    </row>
    <row r="13" spans="2:10" ht="30" customHeight="1" thickBot="1">
      <c r="B13" s="66" t="s">
        <v>14</v>
      </c>
      <c r="C13" s="270" t="s">
        <v>224</v>
      </c>
      <c r="D13" s="270"/>
      <c r="E13" s="270"/>
      <c r="F13" s="271"/>
      <c r="G13" s="64"/>
      <c r="H13" s="64"/>
      <c r="I13" s="64"/>
      <c r="J13" s="64"/>
    </row>
    <row r="14" spans="2:10" ht="15.75" customHeight="1" thickBot="1">
      <c r="B14" s="70">
        <v>3</v>
      </c>
      <c r="C14" s="268" t="s">
        <v>74</v>
      </c>
      <c r="D14" s="268"/>
      <c r="E14" s="268"/>
      <c r="F14" s="269"/>
      <c r="G14" s="64"/>
      <c r="H14" s="64"/>
      <c r="I14" s="64"/>
      <c r="J14" s="64"/>
    </row>
    <row r="15" spans="2:10" ht="29.25" customHeight="1">
      <c r="B15" s="66" t="s">
        <v>15</v>
      </c>
      <c r="C15" s="270" t="s">
        <v>285</v>
      </c>
      <c r="D15" s="270"/>
      <c r="E15" s="270"/>
      <c r="F15" s="271"/>
      <c r="G15" s="64"/>
      <c r="H15" s="64"/>
      <c r="I15" s="64"/>
      <c r="J15" s="64"/>
    </row>
    <row r="16" spans="2:10" ht="15.75" customHeight="1">
      <c r="B16" s="66" t="s">
        <v>16</v>
      </c>
      <c r="C16" s="272" t="s">
        <v>17</v>
      </c>
      <c r="D16" s="272"/>
      <c r="E16" s="272"/>
      <c r="F16" s="273"/>
      <c r="G16" s="64"/>
      <c r="H16" s="64"/>
      <c r="I16" s="64"/>
      <c r="J16" s="64"/>
    </row>
    <row r="17" spans="2:10" ht="15.75" customHeight="1">
      <c r="B17" s="66" t="s">
        <v>18</v>
      </c>
      <c r="C17" s="272" t="s">
        <v>19</v>
      </c>
      <c r="D17" s="272"/>
      <c r="E17" s="272"/>
      <c r="F17" s="273"/>
      <c r="G17" s="64"/>
      <c r="H17" s="64"/>
      <c r="I17" s="64"/>
      <c r="J17" s="64"/>
    </row>
    <row r="18" spans="2:10" ht="15.95" customHeight="1" thickBot="1">
      <c r="B18" s="265" t="s">
        <v>225</v>
      </c>
      <c r="C18" s="266"/>
      <c r="D18" s="266"/>
      <c r="E18" s="266"/>
      <c r="F18" s="267"/>
      <c r="G18" s="64"/>
      <c r="H18" s="64"/>
      <c r="I18" s="64"/>
      <c r="J18" s="64"/>
    </row>
  </sheetData>
  <mergeCells count="19">
    <mergeCell ref="C11:F11"/>
    <mergeCell ref="C12:F12"/>
    <mergeCell ref="C13:F13"/>
    <mergeCell ref="C7:F7"/>
    <mergeCell ref="C8:F8"/>
    <mergeCell ref="C9:F9"/>
    <mergeCell ref="C10:F10"/>
    <mergeCell ref="B18:F18"/>
    <mergeCell ref="C14:F14"/>
    <mergeCell ref="C15:F15"/>
    <mergeCell ref="C16:F16"/>
    <mergeCell ref="C17:F17"/>
    <mergeCell ref="B4:F4"/>
    <mergeCell ref="C5:F5"/>
    <mergeCell ref="C6:F6"/>
    <mergeCell ref="B1:F1"/>
    <mergeCell ref="B2:D2"/>
    <mergeCell ref="E2:F2"/>
    <mergeCell ref="B3:F3"/>
  </mergeCells>
  <hyperlinks>
    <hyperlink ref="C6" location="'1.1'!A1" tooltip="Ir a 1.1" display="Ficha Integral del Recolectro y/o Cosechador para ASAI (INSTRUMENTO 1.1 - PADRÓN SIC)" xr:uid="{00000000-0004-0000-0200-000000000000}"/>
    <hyperlink ref="C9" location="'2.1'!A1" tooltip="Ir a 2.1" display="Registro de Ingreso de Fruta" xr:uid="{00000000-0004-0000-0200-000003000000}"/>
    <hyperlink ref="C10" location="'2.2'!A1" tooltip="Ir a 2.2" display="Registro para el Control de Insumos y Materiales en Almacenamiento" xr:uid="{00000000-0004-0000-0200-000004000000}"/>
    <hyperlink ref="C11" location="'2.3'!A1" tooltip="Ir a 2.3" display="Tarjeta de Kardex de Movimiento Diario" xr:uid="{00000000-0004-0000-0200-000005000000}"/>
    <hyperlink ref="C12" location="'2.4'!A1" tooltip="Ir a 2.4" display="Balance de Masas (Registro de Transformación)" xr:uid="{00000000-0004-0000-0200-000006000000}"/>
    <hyperlink ref="C13" location="'2.5'!A1" tooltip="Ir a 2.5" display="Registro de Limpieza y Mantenimiento" xr:uid="{00000000-0004-0000-0200-000007000000}"/>
    <hyperlink ref="C15" location="'3.1.'!A1" tooltip="Ir a 3.1." display="Cadena de Custodia (Guía de Despacho Digital)" xr:uid="{00000000-0004-0000-0200-00000A000000}"/>
    <hyperlink ref="C16" location="'3.2.'!A1" tooltip="Ir a 3.2." display="Matriz de Procesos" xr:uid="{00000000-0004-0000-0200-00000B000000}"/>
    <hyperlink ref="C17" location="'3.3. '!A1" tooltip="Ir a 3.3. " display="Registro de Despacho de Materia Prima" xr:uid="{00000000-0004-0000-0200-00000C000000}"/>
    <hyperlink ref="C9:F9" location="'2.1'!Área_de_impresión" tooltip="Ir a 2.1" display="Registro de Ingreso de Fruta" xr:uid="{8079A6AC-A4BB-42C3-97B3-DC9FE6884A6D}"/>
    <hyperlink ref="C10:F10" location="'2.2'!Área_de_impresión" tooltip="Ir a 2.2" display=" Recepcion de materia prima (frutos silvestres)" xr:uid="{B2D8B4B4-5BA5-4F75-8F69-94B7E086873D}"/>
    <hyperlink ref="C11:F11" location="'2.3'!Área_de_impresión" tooltip="Ir a 2.3" display="Ablandamiento y Enfriado de Frutos de Asaí " xr:uid="{99C9CDF1-D240-4E6D-B777-DB12B3E56FA1}"/>
    <hyperlink ref="C12:F12" location="'2.4'!Área_de_impresión" tooltip="Ir a 2.4" display="Planilla de control Transformacion de Materia Prima, Transformacion de Frutos Amazonicos" xr:uid="{BFE1AD64-279B-4BC1-9599-AE6772A44CAB}"/>
    <hyperlink ref="C13:F13" location="'2.5'!Área_de_impresión" tooltip="Ir a 2.5" display="Planilla de control Inventario Choque Termico, Transformacion de Frutos Amazonicos" xr:uid="{939BFF82-E5F7-4D5D-A89F-9AAC337FBE25}"/>
    <hyperlink ref="C15:F15" location="'3.1.'!Área_de_impresión" tooltip="Ir a 3.1." display="Cadena de Custodia (Guía de Despacho Digital)" xr:uid="{FA4E26A9-50F3-46E0-9957-E9341C950214}"/>
    <hyperlink ref="C16:F16" location="'3.2.'!Área_de_impresión" tooltip="Ir a 3.2." display="Matriz de Procesos" xr:uid="{4D8E46A2-1CFE-4F89-AC38-51D779618889}"/>
    <hyperlink ref="C17:F17" location="'3.3. '!Área_de_impresión" tooltip="Ir a 3.3. " display="Registro de Despacho de Materia Prima" xr:uid="{AB85EA57-0FD7-4B96-85AB-05499128274F}"/>
    <hyperlink ref="C7" location="'1.1'!A1" tooltip="Ir a 1.1" display="Ficha Integral del Recolectro y/o Cosechador para ASAI (INSTRUMENTO 1.1 - PADRÓN SIC)" xr:uid="{EC0C87CD-0C7E-4DBB-83FA-7BB8CF787887}"/>
    <hyperlink ref="C6:F6" location="'AREA A 1.1.'!A1" tooltip="Ir a 1.1" display="Lista de recolectores Silvestres de Asai del Area Protegida " xr:uid="{7CA1D52D-4649-4C2B-B738-846BADA2AD0D}"/>
    <hyperlink ref="C7:F7" location="'AREA A 1.2'!A1" tooltip="Ir a 1.1" display="Ficha Integral del Recolectro y/o Cosechador para ASAI " xr:uid="{2A45745D-A66A-4DB5-8095-75B520EE5351}"/>
  </hyperlinks>
  <printOptions horizontalCentered="1"/>
  <pageMargins left="0.7" right="0.7" top="0.75" bottom="0.75" header="0.511811023622047" footer="0.511811023622047"/>
  <pageSetup paperSize="9" scale="47"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2CAF-6667-4050-93B9-84F0C1B5F8E0}">
  <dimension ref="A1:L23"/>
  <sheetViews>
    <sheetView zoomScale="90" zoomScaleNormal="90" workbookViewId="0">
      <selection activeCell="J14" sqref="J14:L14"/>
    </sheetView>
  </sheetViews>
  <sheetFormatPr baseColWidth="10" defaultColWidth="11.5703125" defaultRowHeight="12.75"/>
  <cols>
    <col min="1" max="1" width="8" style="26" customWidth="1"/>
    <col min="2" max="2" width="19.5703125" style="26" bestFit="1" customWidth="1"/>
    <col min="3" max="3" width="30" style="26" customWidth="1"/>
    <col min="4" max="4" width="6.7109375" style="25" customWidth="1"/>
    <col min="5" max="5" width="18.7109375" style="26" customWidth="1"/>
    <col min="6" max="6" width="8.42578125" style="26" customWidth="1"/>
    <col min="7" max="7" width="16.28515625" style="26" bestFit="1" customWidth="1"/>
    <col min="8" max="8" width="17" style="26" customWidth="1"/>
    <col min="9" max="9" width="26.140625" style="26" customWidth="1"/>
    <col min="10" max="10" width="8.5703125" style="26" customWidth="1"/>
    <col min="11" max="11" width="6.7109375" style="26" customWidth="1"/>
    <col min="12" max="12" width="22.28515625" style="26" customWidth="1"/>
    <col min="13" max="16384" width="11.5703125" style="26"/>
  </cols>
  <sheetData>
    <row r="1" spans="1:12">
      <c r="A1" s="283" t="s">
        <v>237</v>
      </c>
      <c r="B1" s="283"/>
      <c r="C1" s="283"/>
      <c r="D1" s="283"/>
      <c r="E1" s="283"/>
      <c r="F1" s="283"/>
      <c r="G1" s="212" t="s">
        <v>252</v>
      </c>
      <c r="H1" s="212"/>
      <c r="I1" s="212"/>
      <c r="J1" s="284" t="s">
        <v>228</v>
      </c>
      <c r="K1" s="284"/>
      <c r="L1" s="284"/>
    </row>
    <row r="2" spans="1:12">
      <c r="A2" s="283"/>
      <c r="B2" s="283"/>
      <c r="C2" s="283"/>
      <c r="D2" s="283"/>
      <c r="E2" s="283"/>
      <c r="F2" s="283"/>
      <c r="G2" s="212" t="s">
        <v>253</v>
      </c>
      <c r="H2" s="212"/>
      <c r="I2" s="212"/>
      <c r="J2" s="284"/>
      <c r="K2" s="284"/>
      <c r="L2" s="284"/>
    </row>
    <row r="3" spans="1:12">
      <c r="A3" s="285" t="s">
        <v>258</v>
      </c>
      <c r="B3" s="285"/>
      <c r="C3" s="285"/>
      <c r="D3" s="285"/>
      <c r="E3" s="285"/>
      <c r="F3" s="285"/>
      <c r="G3" s="285"/>
      <c r="H3" s="285"/>
      <c r="I3" s="285"/>
      <c r="J3" s="285"/>
      <c r="K3" s="285"/>
      <c r="L3" s="285"/>
    </row>
    <row r="4" spans="1:12">
      <c r="A4" s="285"/>
      <c r="B4" s="285"/>
      <c r="C4" s="285"/>
      <c r="D4" s="285"/>
      <c r="E4" s="285"/>
      <c r="F4" s="285"/>
      <c r="G4" s="285"/>
      <c r="H4" s="285"/>
      <c r="I4" s="285"/>
      <c r="J4" s="285"/>
      <c r="K4" s="285"/>
      <c r="L4" s="285"/>
    </row>
    <row r="5" spans="1:12" ht="12.75" customHeight="1">
      <c r="A5" s="278" t="s">
        <v>44</v>
      </c>
      <c r="B5" s="278"/>
      <c r="C5" s="278"/>
      <c r="D5" s="278"/>
      <c r="E5" s="278"/>
      <c r="F5" s="278" t="s">
        <v>230</v>
      </c>
      <c r="G5" s="278"/>
      <c r="H5" s="278"/>
      <c r="I5" s="278"/>
      <c r="J5" s="147"/>
      <c r="K5" s="278"/>
      <c r="L5" s="278"/>
    </row>
    <row r="6" spans="1:12" ht="12.75" customHeight="1" thickBot="1">
      <c r="A6" s="279"/>
      <c r="B6" s="279"/>
      <c r="C6" s="279"/>
      <c r="D6" s="279"/>
      <c r="E6" s="279"/>
      <c r="F6" s="279"/>
      <c r="G6" s="279"/>
      <c r="H6" s="279"/>
      <c r="I6" s="279"/>
      <c r="J6" s="279"/>
      <c r="K6" s="279"/>
      <c r="L6" s="279"/>
    </row>
    <row r="7" spans="1:12" ht="17.25" customHeight="1">
      <c r="A7" s="294" t="s">
        <v>259</v>
      </c>
      <c r="B7" s="287"/>
      <c r="C7" s="209"/>
      <c r="D7" s="208" t="s">
        <v>260</v>
      </c>
      <c r="E7" s="209"/>
      <c r="F7" s="208" t="s">
        <v>261</v>
      </c>
      <c r="G7" s="209"/>
      <c r="H7" s="208" t="s">
        <v>262</v>
      </c>
      <c r="I7" s="209"/>
      <c r="J7" s="286" t="s">
        <v>263</v>
      </c>
      <c r="K7" s="287"/>
      <c r="L7" s="213"/>
    </row>
    <row r="8" spans="1:12" ht="36" customHeight="1">
      <c r="A8" s="295" t="s">
        <v>264</v>
      </c>
      <c r="B8" s="296"/>
      <c r="C8" s="281"/>
      <c r="D8" s="282"/>
      <c r="E8" s="179" t="s">
        <v>266</v>
      </c>
      <c r="F8" s="288" t="s">
        <v>267</v>
      </c>
      <c r="G8" s="288"/>
      <c r="H8" s="288"/>
      <c r="I8" s="288"/>
      <c r="J8" s="288"/>
      <c r="K8" s="288"/>
      <c r="L8" s="289"/>
    </row>
    <row r="9" spans="1:12" ht="8.25" customHeight="1">
      <c r="A9" s="214"/>
      <c r="B9" s="178"/>
      <c r="C9" s="178"/>
      <c r="D9" s="183"/>
      <c r="E9" s="184"/>
      <c r="F9" s="290"/>
      <c r="G9" s="290"/>
      <c r="H9" s="290"/>
      <c r="I9" s="290"/>
      <c r="J9" s="290"/>
      <c r="K9" s="290"/>
      <c r="L9" s="291"/>
    </row>
    <row r="10" spans="1:12" ht="45" customHeight="1">
      <c r="A10" s="295" t="s">
        <v>265</v>
      </c>
      <c r="B10" s="296"/>
      <c r="C10" s="210"/>
      <c r="D10" s="211"/>
      <c r="E10" s="211"/>
      <c r="F10" s="292"/>
      <c r="G10" s="292"/>
      <c r="H10" s="292"/>
      <c r="I10" s="292"/>
      <c r="J10" s="292"/>
      <c r="K10" s="292"/>
      <c r="L10" s="293"/>
    </row>
    <row r="11" spans="1:12" ht="27.75" customHeight="1">
      <c r="A11" s="318"/>
      <c r="B11" s="282"/>
      <c r="C11" s="178"/>
      <c r="D11" s="185"/>
      <c r="E11" s="307" t="s">
        <v>271</v>
      </c>
      <c r="F11" s="309"/>
      <c r="G11" s="280" t="s">
        <v>278</v>
      </c>
      <c r="H11" s="280"/>
      <c r="I11" s="280"/>
      <c r="J11" s="185"/>
      <c r="K11" s="178"/>
      <c r="L11" s="215"/>
    </row>
    <row r="12" spans="1:12" ht="11.25" customHeight="1">
      <c r="A12" s="227"/>
      <c r="B12" s="224"/>
      <c r="C12" s="228"/>
      <c r="D12" s="223"/>
      <c r="E12" s="233"/>
      <c r="F12" s="233"/>
      <c r="G12" s="229"/>
      <c r="H12" s="230"/>
      <c r="I12" s="229"/>
      <c r="J12" s="222"/>
      <c r="K12" s="231"/>
      <c r="L12" s="232"/>
    </row>
    <row r="13" spans="1:12" ht="48" customHeight="1">
      <c r="A13" s="216" t="s">
        <v>273</v>
      </c>
      <c r="B13" s="188" t="s">
        <v>268</v>
      </c>
      <c r="C13" s="307" t="s">
        <v>269</v>
      </c>
      <c r="D13" s="308"/>
      <c r="E13" s="309"/>
      <c r="F13" s="307" t="s">
        <v>270</v>
      </c>
      <c r="G13" s="309"/>
      <c r="H13" s="307" t="s">
        <v>279</v>
      </c>
      <c r="I13" s="309"/>
      <c r="J13" s="310" t="s">
        <v>272</v>
      </c>
      <c r="K13" s="311"/>
      <c r="L13" s="312"/>
    </row>
    <row r="14" spans="1:12" ht="20.100000000000001" customHeight="1">
      <c r="A14" s="214">
        <v>1</v>
      </c>
      <c r="B14" s="189" t="s">
        <v>280</v>
      </c>
      <c r="C14" s="300" t="s">
        <v>277</v>
      </c>
      <c r="D14" s="301"/>
      <c r="E14" s="302"/>
      <c r="F14" s="314">
        <v>1761933</v>
      </c>
      <c r="G14" s="315"/>
      <c r="H14" s="297"/>
      <c r="I14" s="313"/>
      <c r="J14" s="297"/>
      <c r="K14" s="298"/>
      <c r="L14" s="299"/>
    </row>
    <row r="15" spans="1:12" ht="20.100000000000001" customHeight="1">
      <c r="A15" s="214"/>
      <c r="B15" s="189"/>
      <c r="C15" s="300"/>
      <c r="D15" s="301"/>
      <c r="E15" s="302"/>
      <c r="F15" s="316"/>
      <c r="G15" s="317"/>
      <c r="H15" s="297"/>
      <c r="I15" s="313"/>
      <c r="J15" s="297"/>
      <c r="K15" s="298"/>
      <c r="L15" s="299"/>
    </row>
    <row r="16" spans="1:12" ht="20.100000000000001" customHeight="1">
      <c r="A16" s="214"/>
      <c r="B16" s="189"/>
      <c r="C16" s="300"/>
      <c r="D16" s="301"/>
      <c r="E16" s="302"/>
      <c r="F16" s="316"/>
      <c r="G16" s="317"/>
      <c r="H16" s="297"/>
      <c r="I16" s="313"/>
      <c r="J16" s="297"/>
      <c r="K16" s="298"/>
      <c r="L16" s="299"/>
    </row>
    <row r="17" spans="1:12" ht="20.100000000000001" customHeight="1">
      <c r="A17" s="214"/>
      <c r="B17" s="189"/>
      <c r="C17" s="300"/>
      <c r="D17" s="301"/>
      <c r="E17" s="302"/>
      <c r="F17" s="316"/>
      <c r="G17" s="317"/>
      <c r="H17" s="297"/>
      <c r="I17" s="313"/>
      <c r="J17" s="297"/>
      <c r="K17" s="298"/>
      <c r="L17" s="299"/>
    </row>
    <row r="18" spans="1:12" ht="20.100000000000001" customHeight="1">
      <c r="A18" s="214"/>
      <c r="B18" s="189"/>
      <c r="C18" s="300"/>
      <c r="D18" s="301"/>
      <c r="E18" s="302"/>
      <c r="F18" s="316"/>
      <c r="G18" s="317"/>
      <c r="H18" s="297"/>
      <c r="I18" s="313"/>
      <c r="J18" s="297"/>
      <c r="K18" s="298"/>
      <c r="L18" s="299"/>
    </row>
    <row r="19" spans="1:12" ht="20.100000000000001" customHeight="1">
      <c r="A19" s="214"/>
      <c r="B19" s="189"/>
      <c r="C19" s="300"/>
      <c r="D19" s="301"/>
      <c r="E19" s="302"/>
      <c r="F19" s="316"/>
      <c r="G19" s="317"/>
      <c r="H19" s="297"/>
      <c r="I19" s="313"/>
      <c r="J19" s="297"/>
      <c r="K19" s="298"/>
      <c r="L19" s="299"/>
    </row>
    <row r="20" spans="1:12" ht="12.75" customHeight="1">
      <c r="A20" s="217"/>
      <c r="B20" s="303"/>
      <c r="C20" s="303"/>
      <c r="D20" s="197"/>
      <c r="E20" s="198"/>
      <c r="F20" s="198"/>
      <c r="G20" s="199"/>
      <c r="H20" s="198"/>
      <c r="I20" s="198"/>
      <c r="J20" s="198"/>
      <c r="K20" s="198"/>
      <c r="L20" s="198"/>
    </row>
    <row r="21" spans="1:12" ht="19.5" customHeight="1">
      <c r="A21" s="214"/>
      <c r="B21" s="178"/>
      <c r="C21" s="178"/>
      <c r="D21" s="180"/>
      <c r="E21" s="180"/>
      <c r="F21" s="180"/>
      <c r="G21" s="178"/>
      <c r="H21" s="178"/>
      <c r="I21" s="180" t="s">
        <v>53</v>
      </c>
      <c r="J21" s="178"/>
      <c r="K21" s="178"/>
      <c r="L21" s="215"/>
    </row>
    <row r="22" spans="1:12">
      <c r="A22" s="218"/>
      <c r="B22" s="201"/>
      <c r="C22" s="201"/>
      <c r="D22" s="202"/>
      <c r="E22" s="202"/>
      <c r="F22" s="202"/>
      <c r="G22" s="201"/>
      <c r="H22" s="201"/>
      <c r="I22" s="202" t="s">
        <v>51</v>
      </c>
      <c r="J22" s="201"/>
      <c r="K22" s="201"/>
      <c r="L22" s="219"/>
    </row>
    <row r="23" spans="1:12" ht="15.95" customHeight="1" thickBot="1">
      <c r="A23" s="220"/>
      <c r="B23" s="304" t="s">
        <v>58</v>
      </c>
      <c r="C23" s="305"/>
      <c r="D23" s="305"/>
      <c r="E23" s="305"/>
      <c r="F23" s="305"/>
      <c r="G23" s="305"/>
      <c r="H23" s="305"/>
      <c r="I23" s="305"/>
      <c r="J23" s="305"/>
      <c r="K23" s="305"/>
      <c r="L23" s="306"/>
    </row>
  </sheetData>
  <mergeCells count="48">
    <mergeCell ref="E11:F11"/>
    <mergeCell ref="A11:B11"/>
    <mergeCell ref="C15:E15"/>
    <mergeCell ref="C16:E16"/>
    <mergeCell ref="C17:E17"/>
    <mergeCell ref="C18:E18"/>
    <mergeCell ref="C19:E19"/>
    <mergeCell ref="F16:G16"/>
    <mergeCell ref="F17:G17"/>
    <mergeCell ref="F18:G18"/>
    <mergeCell ref="F19:G19"/>
    <mergeCell ref="H14:I14"/>
    <mergeCell ref="H15:I15"/>
    <mergeCell ref="H16:I16"/>
    <mergeCell ref="H17:I17"/>
    <mergeCell ref="H18:I18"/>
    <mergeCell ref="J14:L14"/>
    <mergeCell ref="C14:E14"/>
    <mergeCell ref="B20:C20"/>
    <mergeCell ref="B23:L23"/>
    <mergeCell ref="C13:E13"/>
    <mergeCell ref="F13:G13"/>
    <mergeCell ref="H13:I13"/>
    <mergeCell ref="J13:L13"/>
    <mergeCell ref="J15:L15"/>
    <mergeCell ref="J16:L16"/>
    <mergeCell ref="J17:L17"/>
    <mergeCell ref="J18:L18"/>
    <mergeCell ref="J19:L19"/>
    <mergeCell ref="H19:I19"/>
    <mergeCell ref="F14:G14"/>
    <mergeCell ref="F15:G15"/>
    <mergeCell ref="K5:L5"/>
    <mergeCell ref="A6:L6"/>
    <mergeCell ref="G11:I11"/>
    <mergeCell ref="C8:D8"/>
    <mergeCell ref="A1:F2"/>
    <mergeCell ref="J1:L2"/>
    <mergeCell ref="A3:L4"/>
    <mergeCell ref="A5:C5"/>
    <mergeCell ref="D5:E5"/>
    <mergeCell ref="F5:G5"/>
    <mergeCell ref="H5:I5"/>
    <mergeCell ref="J7:K7"/>
    <mergeCell ref="F8:L10"/>
    <mergeCell ref="A7:B7"/>
    <mergeCell ref="A8:B8"/>
    <mergeCell ref="A10:B10"/>
  </mergeCells>
  <hyperlinks>
    <hyperlink ref="J1:L2" location="MENU!A1" tooltip="Ir al Menú" display="◄ MENU" xr:uid="{601B571A-23E7-4E74-97DD-252ECB0BB1C4}"/>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21"/>
  <sheetViews>
    <sheetView showGridLines="0" zoomScale="70" zoomScaleNormal="70" workbookViewId="0">
      <pane ySplit="7" topLeftCell="A8" activePane="bottomLeft" state="frozen"/>
      <selection pane="bottomLeft" activeCell="C13" sqref="C13"/>
    </sheetView>
  </sheetViews>
  <sheetFormatPr baseColWidth="10" defaultColWidth="11.5703125" defaultRowHeight="12.75"/>
  <cols>
    <col min="1" max="1" width="2.42578125" style="26" customWidth="1"/>
    <col min="2" max="2" width="19.5703125" style="26" bestFit="1" customWidth="1"/>
    <col min="3" max="3" width="19.42578125" style="26" bestFit="1" customWidth="1"/>
    <col min="4" max="4" width="58.85546875" style="25" bestFit="1" customWidth="1"/>
    <col min="5" max="5" width="20.85546875" style="25" bestFit="1" customWidth="1"/>
    <col min="6" max="6" width="12" style="26" bestFit="1" customWidth="1"/>
    <col min="7" max="7" width="17.85546875" style="26" bestFit="1" customWidth="1"/>
    <col min="8" max="8" width="16.28515625" style="26" bestFit="1" customWidth="1"/>
    <col min="9" max="9" width="22.5703125" style="26" bestFit="1" customWidth="1"/>
    <col min="10" max="10" width="36.28515625" style="26" bestFit="1" customWidth="1"/>
    <col min="11" max="11" width="16.28515625" style="26" bestFit="1" customWidth="1"/>
    <col min="12" max="12" width="22.7109375" style="26" customWidth="1"/>
    <col min="13" max="13" width="13.85546875" style="26" bestFit="1" customWidth="1"/>
    <col min="14" max="14" width="22.28515625" style="26" customWidth="1"/>
    <col min="15" max="16384" width="11.5703125" style="26"/>
  </cols>
  <sheetData>
    <row r="1" spans="1:14">
      <c r="A1" s="283" t="s">
        <v>237</v>
      </c>
      <c r="B1" s="283"/>
      <c r="C1" s="283"/>
      <c r="D1" s="283"/>
      <c r="E1" s="283"/>
      <c r="F1" s="283"/>
      <c r="G1" s="283"/>
      <c r="H1" s="319" t="s">
        <v>286</v>
      </c>
      <c r="I1" s="319"/>
      <c r="J1" s="319"/>
      <c r="K1" s="319"/>
      <c r="L1" s="284" t="s">
        <v>228</v>
      </c>
      <c r="M1" s="284"/>
      <c r="N1" s="284"/>
    </row>
    <row r="2" spans="1:14">
      <c r="A2" s="283"/>
      <c r="B2" s="283"/>
      <c r="C2" s="283"/>
      <c r="D2" s="283"/>
      <c r="E2" s="283"/>
      <c r="F2" s="283"/>
      <c r="G2" s="283"/>
      <c r="H2" s="319" t="s">
        <v>253</v>
      </c>
      <c r="I2" s="319"/>
      <c r="J2" s="319"/>
      <c r="K2" s="319"/>
      <c r="L2" s="284"/>
      <c r="M2" s="284"/>
      <c r="N2" s="284"/>
    </row>
    <row r="3" spans="1:14">
      <c r="A3" s="285" t="s">
        <v>257</v>
      </c>
      <c r="B3" s="285"/>
      <c r="C3" s="285"/>
      <c r="D3" s="285"/>
      <c r="E3" s="285"/>
      <c r="F3" s="285"/>
      <c r="G3" s="285"/>
      <c r="H3" s="285"/>
      <c r="I3" s="285"/>
      <c r="J3" s="285"/>
      <c r="K3" s="285"/>
      <c r="L3" s="285"/>
      <c r="M3" s="285"/>
      <c r="N3" s="285"/>
    </row>
    <row r="4" spans="1:14">
      <c r="A4" s="285"/>
      <c r="B4" s="285"/>
      <c r="C4" s="285"/>
      <c r="D4" s="285"/>
      <c r="E4" s="285"/>
      <c r="F4" s="285"/>
      <c r="G4" s="285"/>
      <c r="H4" s="285"/>
      <c r="I4" s="285"/>
      <c r="J4" s="285"/>
      <c r="K4" s="285"/>
      <c r="L4" s="285"/>
      <c r="M4" s="285"/>
      <c r="N4" s="285"/>
    </row>
    <row r="5" spans="1:14" ht="12.75" customHeight="1">
      <c r="A5" s="278" t="s">
        <v>44</v>
      </c>
      <c r="B5" s="278"/>
      <c r="C5" s="278"/>
      <c r="D5" s="278"/>
      <c r="E5" s="278"/>
      <c r="F5" s="278"/>
      <c r="G5" s="278" t="s">
        <v>230</v>
      </c>
      <c r="H5" s="278"/>
      <c r="I5" s="278"/>
      <c r="J5" s="278"/>
      <c r="K5" s="278" t="s">
        <v>254</v>
      </c>
      <c r="L5" s="278"/>
      <c r="M5" s="278"/>
      <c r="N5" s="278"/>
    </row>
    <row r="6" spans="1:14" ht="12.75" customHeight="1">
      <c r="A6" s="279"/>
      <c r="B6" s="279"/>
      <c r="C6" s="279"/>
      <c r="D6" s="279"/>
      <c r="E6" s="279"/>
      <c r="F6" s="279"/>
      <c r="G6" s="279"/>
      <c r="H6" s="279"/>
      <c r="I6" s="279"/>
      <c r="J6" s="279"/>
      <c r="K6" s="279"/>
      <c r="L6" s="279"/>
      <c r="M6" s="279"/>
      <c r="N6" s="279"/>
    </row>
    <row r="7" spans="1:14" ht="33" customHeight="1" thickBot="1"/>
    <row r="8" spans="1:14" ht="17.25" customHeight="1">
      <c r="A8" s="175"/>
      <c r="B8" s="330" t="s">
        <v>39</v>
      </c>
      <c r="C8" s="330"/>
      <c r="D8" s="330"/>
      <c r="E8" s="330"/>
      <c r="F8" s="330"/>
      <c r="G8" s="330"/>
      <c r="H8" s="330"/>
      <c r="I8" s="330"/>
      <c r="J8" s="330"/>
      <c r="K8" s="330"/>
      <c r="L8" s="330"/>
      <c r="M8" s="330"/>
      <c r="N8" s="331"/>
    </row>
    <row r="9" spans="1:14" ht="36" customHeight="1">
      <c r="A9" s="176"/>
      <c r="B9" s="177" t="s">
        <v>55</v>
      </c>
      <c r="C9" s="178"/>
      <c r="D9" s="179" t="s">
        <v>45</v>
      </c>
      <c r="E9" s="179"/>
      <c r="F9" s="180"/>
      <c r="G9" s="179" t="s">
        <v>43</v>
      </c>
      <c r="H9" s="178"/>
      <c r="I9" s="179" t="s">
        <v>38</v>
      </c>
      <c r="J9" s="178"/>
      <c r="K9" s="179" t="s">
        <v>44</v>
      </c>
      <c r="L9" s="180"/>
      <c r="M9" s="181" t="s">
        <v>47</v>
      </c>
      <c r="N9" s="182"/>
    </row>
    <row r="10" spans="1:14" ht="8.25" customHeight="1">
      <c r="A10" s="176"/>
      <c r="B10" s="178"/>
      <c r="C10" s="178"/>
      <c r="D10" s="183"/>
      <c r="E10" s="183"/>
      <c r="F10" s="184"/>
      <c r="G10" s="184"/>
      <c r="H10" s="280"/>
      <c r="I10" s="280"/>
      <c r="J10" s="280"/>
      <c r="K10" s="184"/>
      <c r="L10" s="185"/>
      <c r="M10" s="178"/>
      <c r="N10" s="182"/>
    </row>
    <row r="11" spans="1:14" ht="45" customHeight="1">
      <c r="A11" s="176"/>
      <c r="B11" s="186" t="s">
        <v>54</v>
      </c>
      <c r="C11" s="184"/>
      <c r="D11" s="186" t="s">
        <v>40</v>
      </c>
      <c r="E11" s="186"/>
      <c r="F11" s="187"/>
      <c r="G11" s="186" t="s">
        <v>41</v>
      </c>
      <c r="H11" s="187"/>
      <c r="I11" s="186" t="s">
        <v>48</v>
      </c>
      <c r="J11" s="185"/>
      <c r="K11" s="186" t="s">
        <v>49</v>
      </c>
      <c r="L11" s="327"/>
      <c r="M11" s="328"/>
      <c r="N11" s="329"/>
    </row>
    <row r="12" spans="1:14" ht="18" customHeight="1">
      <c r="A12" s="176"/>
      <c r="B12" s="178"/>
      <c r="C12" s="178"/>
      <c r="D12" s="185"/>
      <c r="E12" s="185"/>
      <c r="F12" s="184"/>
      <c r="G12" s="184"/>
      <c r="H12" s="280"/>
      <c r="I12" s="280"/>
      <c r="J12" s="280"/>
      <c r="K12" s="184"/>
      <c r="L12" s="185"/>
      <c r="M12" s="178"/>
      <c r="N12" s="182"/>
    </row>
    <row r="13" spans="1:14" ht="48" customHeight="1">
      <c r="A13" s="176"/>
      <c r="B13" s="221" t="s">
        <v>274</v>
      </c>
      <c r="C13" s="221" t="s">
        <v>275</v>
      </c>
      <c r="D13" s="188" t="s">
        <v>60</v>
      </c>
      <c r="E13" s="188" t="s">
        <v>63</v>
      </c>
      <c r="F13" s="188" t="s">
        <v>64</v>
      </c>
      <c r="G13" s="188" t="s">
        <v>65</v>
      </c>
      <c r="H13" s="188" t="s">
        <v>66</v>
      </c>
      <c r="I13" s="188" t="s">
        <v>62</v>
      </c>
      <c r="J13" s="188" t="s">
        <v>46</v>
      </c>
      <c r="K13" s="323" t="s">
        <v>42</v>
      </c>
      <c r="L13" s="323"/>
      <c r="M13" s="178"/>
      <c r="N13" s="182"/>
    </row>
    <row r="14" spans="1:14" ht="20.100000000000001" customHeight="1">
      <c r="A14" s="176"/>
      <c r="B14" s="189">
        <v>46232</v>
      </c>
      <c r="C14" s="189" t="s">
        <v>59</v>
      </c>
      <c r="D14" s="190" t="s">
        <v>61</v>
      </c>
      <c r="E14" s="190">
        <v>50</v>
      </c>
      <c r="F14" s="191">
        <v>0.33333333333333331</v>
      </c>
      <c r="G14" s="191">
        <v>0.5</v>
      </c>
      <c r="H14" s="192">
        <f>IF(AND(F14="",G14=""),"",(G14-F14)*24)</f>
        <v>4</v>
      </c>
      <c r="I14" s="185"/>
      <c r="J14" s="185"/>
      <c r="K14" s="324"/>
      <c r="L14" s="325"/>
      <c r="M14" s="178"/>
      <c r="N14" s="182"/>
    </row>
    <row r="15" spans="1:14" ht="20.100000000000001" customHeight="1">
      <c r="A15" s="176"/>
      <c r="B15" s="189"/>
      <c r="C15" s="189"/>
      <c r="D15" s="190"/>
      <c r="E15" s="190"/>
      <c r="F15" s="191"/>
      <c r="G15" s="191"/>
      <c r="H15" s="192" t="str">
        <f>IF(AND(F15="",G15=""),"",(G15-F15)*24)</f>
        <v/>
      </c>
      <c r="I15" s="185"/>
      <c r="J15" s="185"/>
      <c r="K15" s="326"/>
      <c r="L15" s="327"/>
      <c r="M15" s="178"/>
      <c r="N15" s="182"/>
    </row>
    <row r="16" spans="1:14" ht="20.100000000000001" customHeight="1">
      <c r="A16" s="176"/>
      <c r="B16" s="193"/>
      <c r="C16" s="189"/>
      <c r="D16" s="194"/>
      <c r="E16" s="194"/>
      <c r="F16" s="195"/>
      <c r="G16" s="191"/>
      <c r="H16" s="192" t="str">
        <f>IF(AND(F16="",G16=""),"",(G16-F16)*24)</f>
        <v/>
      </c>
      <c r="I16" s="196"/>
      <c r="J16" s="185"/>
      <c r="K16" s="326"/>
      <c r="L16" s="327"/>
      <c r="M16" s="178"/>
      <c r="N16" s="182"/>
    </row>
    <row r="17" spans="1:14" ht="12.75" customHeight="1">
      <c r="A17" s="176"/>
      <c r="B17" s="303" t="s">
        <v>56</v>
      </c>
      <c r="C17" s="303"/>
      <c r="D17" s="197"/>
      <c r="E17" s="197">
        <f>SUM(E14:E16)</f>
        <v>50</v>
      </c>
      <c r="F17" s="198"/>
      <c r="G17" s="198"/>
      <c r="H17" s="199">
        <f>AVERAGE(H14:H16)</f>
        <v>4</v>
      </c>
      <c r="I17" s="198"/>
      <c r="J17" s="198"/>
      <c r="K17" s="198"/>
      <c r="L17" s="198"/>
      <c r="M17" s="178"/>
      <c r="N17" s="182"/>
    </row>
    <row r="18" spans="1:14" ht="19.5" customHeight="1">
      <c r="A18" s="176"/>
      <c r="B18" s="178"/>
      <c r="C18" s="178"/>
      <c r="D18" s="180" t="s">
        <v>52</v>
      </c>
      <c r="E18" s="180"/>
      <c r="F18" s="180"/>
      <c r="G18" s="180"/>
      <c r="H18" s="178"/>
      <c r="I18" s="178"/>
      <c r="J18" s="180" t="s">
        <v>53</v>
      </c>
      <c r="K18" s="180"/>
      <c r="L18" s="178"/>
      <c r="M18" s="178"/>
      <c r="N18" s="182"/>
    </row>
    <row r="19" spans="1:14">
      <c r="A19" s="200"/>
      <c r="B19" s="201"/>
      <c r="C19" s="201"/>
      <c r="D19" s="202" t="s">
        <v>50</v>
      </c>
      <c r="E19" s="202"/>
      <c r="F19" s="202"/>
      <c r="G19" s="202"/>
      <c r="H19" s="201"/>
      <c r="I19" s="201"/>
      <c r="J19" s="202" t="s">
        <v>51</v>
      </c>
      <c r="K19" s="202"/>
      <c r="L19" s="201"/>
      <c r="M19" s="201"/>
      <c r="N19" s="203"/>
    </row>
    <row r="20" spans="1:14" ht="15.95" customHeight="1" thickBot="1">
      <c r="B20" s="320" t="s">
        <v>58</v>
      </c>
      <c r="C20" s="321"/>
      <c r="D20" s="321"/>
      <c r="E20" s="321"/>
      <c r="F20" s="321"/>
      <c r="G20" s="321"/>
      <c r="H20" s="321"/>
      <c r="I20" s="321"/>
      <c r="J20" s="321"/>
      <c r="K20" s="321"/>
      <c r="L20" s="321"/>
      <c r="M20" s="321"/>
      <c r="N20" s="322"/>
    </row>
    <row r="21" spans="1:14" ht="13.5" thickTop="1"/>
  </sheetData>
  <mergeCells count="22">
    <mergeCell ref="L11:N11"/>
    <mergeCell ref="B8:N8"/>
    <mergeCell ref="H12:J12"/>
    <mergeCell ref="B17:C17"/>
    <mergeCell ref="H10:J10"/>
    <mergeCell ref="B20:N20"/>
    <mergeCell ref="K13:L13"/>
    <mergeCell ref="K14:L14"/>
    <mergeCell ref="K15:L15"/>
    <mergeCell ref="K16:L16"/>
    <mergeCell ref="A1:G2"/>
    <mergeCell ref="H1:K1"/>
    <mergeCell ref="H2:K2"/>
    <mergeCell ref="L1:N2"/>
    <mergeCell ref="A3:N4"/>
    <mergeCell ref="M5:N5"/>
    <mergeCell ref="A6:N6"/>
    <mergeCell ref="A5:C5"/>
    <mergeCell ref="D5:F5"/>
    <mergeCell ref="G5:H5"/>
    <mergeCell ref="I5:J5"/>
    <mergeCell ref="K5:L5"/>
  </mergeCells>
  <dataValidations count="2">
    <dataValidation type="list" allowBlank="1" showInputMessage="1" showErrorMessage="1" sqref="I14:I16" xr:uid="{430EFD99-E16A-42AE-8711-44AC25C6302A}">
      <formula1>"Fluvial,Terrestre"</formula1>
    </dataValidation>
    <dataValidation type="list" allowBlank="1" showInputMessage="1" showErrorMessage="1" sqref="J14:J16" xr:uid="{59037A25-E289-43AC-8B72-518E3FB406F2}">
      <formula1>"Aceptado,Rechazado"</formula1>
    </dataValidation>
  </dataValidations>
  <hyperlinks>
    <hyperlink ref="L1:N2" location="MENU!A1" tooltip="Ir al Menú" display="◄ MENU" xr:uid="{B7C50972-469A-4AF1-93F0-FFA5269D7F0A}"/>
  </hyperlinks>
  <printOptions horizontalCentered="1"/>
  <pageMargins left="0.70833333333333304" right="0.70833333333333304" top="0.74791666666666701" bottom="0.74791666666666701" header="0.511811023622047" footer="0.511811023622047"/>
  <pageSetup scale="47"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249977111117893"/>
    <pageSetUpPr fitToPage="1"/>
  </sheetPr>
  <dimension ref="A1:N38"/>
  <sheetViews>
    <sheetView showGridLines="0" zoomScale="80" zoomScaleNormal="80" workbookViewId="0">
      <pane ySplit="6" topLeftCell="A7" activePane="bottomLeft" state="frozen"/>
      <selection pane="bottomLeft" activeCell="E22" sqref="E22:F22"/>
    </sheetView>
  </sheetViews>
  <sheetFormatPr baseColWidth="10" defaultColWidth="11.42578125" defaultRowHeight="15"/>
  <cols>
    <col min="1" max="1" width="28" bestFit="1" customWidth="1"/>
    <col min="2" max="2" width="31.28515625" customWidth="1"/>
    <col min="3" max="3" width="14.85546875" customWidth="1"/>
    <col min="4" max="4" width="16.140625" customWidth="1"/>
    <col min="5" max="5" width="8.85546875" bestFit="1" customWidth="1"/>
    <col min="6" max="6" width="7.28515625" customWidth="1"/>
    <col min="7" max="7" width="9.5703125" customWidth="1"/>
    <col min="8" max="8" width="10.5703125" customWidth="1"/>
    <col min="9" max="9" width="11.85546875" customWidth="1"/>
    <col min="10" max="10" width="8.7109375" customWidth="1"/>
    <col min="11" max="11" width="10" bestFit="1" customWidth="1"/>
    <col min="12" max="12" width="11.42578125" bestFit="1" customWidth="1"/>
    <col min="13" max="13" width="17" bestFit="1" customWidth="1"/>
    <col min="14" max="14" width="14.85546875" bestFit="1" customWidth="1"/>
  </cols>
  <sheetData>
    <row r="1" spans="1:14">
      <c r="A1" s="332" t="s">
        <v>57</v>
      </c>
      <c r="B1" s="332"/>
      <c r="C1" s="332"/>
      <c r="D1" s="332"/>
      <c r="E1" s="332"/>
      <c r="F1" s="332"/>
      <c r="G1" s="332"/>
      <c r="H1" s="332"/>
      <c r="I1" s="333" t="s">
        <v>226</v>
      </c>
      <c r="J1" s="333"/>
      <c r="K1" s="333"/>
      <c r="L1" s="333"/>
      <c r="M1" s="335" t="s">
        <v>228</v>
      </c>
      <c r="N1" s="336"/>
    </row>
    <row r="2" spans="1:14">
      <c r="A2" s="332"/>
      <c r="B2" s="332"/>
      <c r="C2" s="332"/>
      <c r="D2" s="332"/>
      <c r="E2" s="332"/>
      <c r="F2" s="332"/>
      <c r="G2" s="332"/>
      <c r="H2" s="332"/>
      <c r="I2" s="334" t="s">
        <v>227</v>
      </c>
      <c r="J2" s="334"/>
      <c r="K2" s="334"/>
      <c r="L2" s="334"/>
      <c r="M2" s="336"/>
      <c r="N2" s="336"/>
    </row>
    <row r="3" spans="1:14">
      <c r="A3" s="337" t="s">
        <v>229</v>
      </c>
      <c r="B3" s="337"/>
      <c r="C3" s="337"/>
      <c r="D3" s="337"/>
      <c r="E3" s="337"/>
      <c r="F3" s="337"/>
      <c r="G3" s="337"/>
      <c r="H3" s="337"/>
      <c r="I3" s="337"/>
      <c r="J3" s="337"/>
      <c r="K3" s="337"/>
      <c r="L3" s="337"/>
      <c r="M3" s="337"/>
      <c r="N3" s="337"/>
    </row>
    <row r="4" spans="1:14">
      <c r="A4" s="337"/>
      <c r="B4" s="337"/>
      <c r="C4" s="337"/>
      <c r="D4" s="337"/>
      <c r="E4" s="337"/>
      <c r="F4" s="337"/>
      <c r="G4" s="337"/>
      <c r="H4" s="337"/>
      <c r="I4" s="337"/>
      <c r="J4" s="337"/>
      <c r="K4" s="337"/>
      <c r="L4" s="337"/>
      <c r="M4" s="337"/>
      <c r="N4" s="337"/>
    </row>
    <row r="5" spans="1:14">
      <c r="A5" s="338" t="s">
        <v>44</v>
      </c>
      <c r="B5" s="338"/>
      <c r="C5" s="206"/>
      <c r="D5" s="206"/>
      <c r="E5" s="339"/>
      <c r="F5" s="339"/>
      <c r="G5" s="338" t="s">
        <v>230</v>
      </c>
      <c r="H5" s="338"/>
      <c r="I5" s="339"/>
      <c r="J5" s="339"/>
      <c r="K5" s="338" t="s">
        <v>231</v>
      </c>
      <c r="L5" s="338"/>
      <c r="M5" s="339"/>
      <c r="N5" s="339"/>
    </row>
    <row r="6" spans="1:14">
      <c r="A6" s="279"/>
      <c r="B6" s="279"/>
      <c r="C6" s="279"/>
      <c r="D6" s="279"/>
      <c r="E6" s="279"/>
      <c r="F6" s="279"/>
      <c r="G6" s="279"/>
      <c r="H6" s="279"/>
      <c r="I6" s="279"/>
      <c r="J6" s="279"/>
      <c r="K6" s="279"/>
      <c r="L6" s="279"/>
      <c r="M6" s="279"/>
      <c r="N6" s="279"/>
    </row>
    <row r="7" spans="1:14">
      <c r="A7" s="245"/>
      <c r="B7" s="245"/>
      <c r="C7" s="245"/>
      <c r="D7" s="245"/>
      <c r="E7" s="245"/>
      <c r="F7" s="245"/>
      <c r="G7" s="245"/>
      <c r="H7" s="245"/>
    </row>
    <row r="8" spans="1:14">
      <c r="A8" s="245"/>
      <c r="B8" s="245"/>
      <c r="C8" s="245"/>
      <c r="D8" s="245"/>
      <c r="E8" s="245"/>
      <c r="F8" s="245"/>
      <c r="G8" s="245"/>
      <c r="H8" s="245"/>
    </row>
    <row r="13" spans="1:14">
      <c r="A13" s="355" t="s">
        <v>75</v>
      </c>
      <c r="B13" s="356"/>
      <c r="C13" s="356"/>
      <c r="D13" s="356"/>
      <c r="E13" s="356"/>
      <c r="F13" s="356"/>
      <c r="G13" s="356"/>
      <c r="H13" s="356"/>
      <c r="I13" s="356"/>
      <c r="J13" s="356"/>
      <c r="K13" s="356"/>
      <c r="L13" s="356"/>
      <c r="M13" s="356"/>
      <c r="N13" s="357"/>
    </row>
    <row r="14" spans="1:14" ht="15.75">
      <c r="A14" s="358" t="s">
        <v>221</v>
      </c>
      <c r="B14" s="359"/>
      <c r="C14" s="359"/>
      <c r="D14" s="359"/>
      <c r="E14" s="359"/>
      <c r="F14" s="359"/>
      <c r="G14" s="359"/>
      <c r="H14" s="359"/>
      <c r="I14" s="359"/>
      <c r="J14" s="359"/>
      <c r="K14" s="359"/>
      <c r="L14" s="359"/>
      <c r="M14" s="359"/>
      <c r="N14" s="360"/>
    </row>
    <row r="15" spans="1:14" ht="15.75" thickBot="1">
      <c r="A15" s="34" t="s">
        <v>76</v>
      </c>
      <c r="B15" s="35"/>
      <c r="C15" s="35"/>
      <c r="D15" s="35"/>
      <c r="E15" s="36" t="s">
        <v>77</v>
      </c>
      <c r="F15" s="37"/>
      <c r="G15" s="361" t="s">
        <v>78</v>
      </c>
      <c r="H15" s="362"/>
      <c r="I15" s="38"/>
      <c r="J15" s="363" t="s">
        <v>79</v>
      </c>
      <c r="K15" s="363"/>
      <c r="L15" s="363"/>
      <c r="M15" s="363"/>
      <c r="N15" s="363"/>
    </row>
    <row r="16" spans="1:14">
      <c r="A16" s="364" t="s">
        <v>80</v>
      </c>
      <c r="B16" s="365"/>
      <c r="C16" s="365"/>
      <c r="D16" s="365"/>
      <c r="E16" s="365"/>
      <c r="F16" s="365"/>
      <c r="G16" s="365"/>
      <c r="H16" s="365"/>
      <c r="I16" s="364" t="s">
        <v>81</v>
      </c>
      <c r="J16" s="365"/>
      <c r="K16" s="365"/>
      <c r="L16" s="365"/>
      <c r="M16" s="365"/>
      <c r="N16" s="366"/>
    </row>
    <row r="17" spans="1:14" s="39" customFormat="1" ht="19.5" customHeight="1">
      <c r="A17" s="351" t="s">
        <v>82</v>
      </c>
      <c r="B17" s="351"/>
      <c r="C17" s="353" t="s">
        <v>276</v>
      </c>
      <c r="D17" s="225" t="s">
        <v>281</v>
      </c>
      <c r="E17" s="351" t="s">
        <v>83</v>
      </c>
      <c r="F17" s="351"/>
      <c r="G17" s="352" t="s">
        <v>84</v>
      </c>
      <c r="H17" s="352"/>
      <c r="I17" s="351" t="s">
        <v>85</v>
      </c>
      <c r="J17" s="351" t="s">
        <v>86</v>
      </c>
      <c r="K17" s="351" t="s">
        <v>87</v>
      </c>
      <c r="L17" s="351" t="s">
        <v>88</v>
      </c>
      <c r="M17" s="351" t="s">
        <v>89</v>
      </c>
      <c r="N17" s="351" t="s">
        <v>90</v>
      </c>
    </row>
    <row r="18" spans="1:14" s="40" customFormat="1" ht="16.899999999999999" customHeight="1">
      <c r="A18" s="351"/>
      <c r="B18" s="351"/>
      <c r="C18" s="354"/>
      <c r="D18" s="226" t="s">
        <v>282</v>
      </c>
      <c r="E18" s="351"/>
      <c r="F18" s="351"/>
      <c r="G18" s="72" t="s">
        <v>91</v>
      </c>
      <c r="H18" s="72" t="s">
        <v>92</v>
      </c>
      <c r="I18" s="351"/>
      <c r="J18" s="351"/>
      <c r="K18" s="351"/>
      <c r="L18" s="351"/>
      <c r="M18" s="351"/>
      <c r="N18" s="351"/>
    </row>
    <row r="19" spans="1:14" ht="21.4" customHeight="1">
      <c r="A19" s="367"/>
      <c r="B19" s="368"/>
      <c r="C19" s="204" t="str">
        <f>+'AREA A 1.1.'!B14</f>
        <v>VF-GGS</v>
      </c>
      <c r="D19" s="204"/>
      <c r="E19" s="349"/>
      <c r="F19" s="349"/>
      <c r="G19" s="73"/>
      <c r="H19" s="73"/>
      <c r="I19" s="73"/>
      <c r="J19" s="77"/>
      <c r="K19" s="79"/>
      <c r="L19" s="79" t="str">
        <f>IF(OR(J19="",K19=""),"",J19*K19)</f>
        <v/>
      </c>
      <c r="M19" s="74"/>
      <c r="N19" s="74"/>
    </row>
    <row r="20" spans="1:14" ht="21.4" customHeight="1">
      <c r="A20" s="348"/>
      <c r="B20" s="348"/>
      <c r="C20" s="205"/>
      <c r="D20" s="205"/>
      <c r="E20" s="348"/>
      <c r="F20" s="348"/>
      <c r="G20" s="75"/>
      <c r="H20" s="75"/>
      <c r="I20" s="75"/>
      <c r="J20" s="78"/>
      <c r="K20" s="80"/>
      <c r="L20" s="80" t="str">
        <f t="shared" ref="L20:L35" si="0">IF(OR(J20="",K20=""),"",J20*K20)</f>
        <v/>
      </c>
      <c r="M20" s="76"/>
      <c r="N20" s="76"/>
    </row>
    <row r="21" spans="1:14" ht="21.4" customHeight="1">
      <c r="A21" s="349"/>
      <c r="B21" s="349"/>
      <c r="C21" s="204"/>
      <c r="D21" s="204"/>
      <c r="E21" s="349"/>
      <c r="F21" s="349"/>
      <c r="G21" s="73"/>
      <c r="H21" s="73"/>
      <c r="I21" s="73"/>
      <c r="J21" s="77"/>
      <c r="K21" s="79"/>
      <c r="L21" s="79" t="str">
        <f t="shared" si="0"/>
        <v/>
      </c>
      <c r="M21" s="74"/>
      <c r="N21" s="74"/>
    </row>
    <row r="22" spans="1:14" ht="21.4" customHeight="1">
      <c r="A22" s="348"/>
      <c r="B22" s="348"/>
      <c r="C22" s="205"/>
      <c r="D22" s="205"/>
      <c r="E22" s="348"/>
      <c r="F22" s="348"/>
      <c r="G22" s="75"/>
      <c r="H22" s="75"/>
      <c r="I22" s="75"/>
      <c r="J22" s="78"/>
      <c r="K22" s="80"/>
      <c r="L22" s="80" t="str">
        <f t="shared" si="0"/>
        <v/>
      </c>
      <c r="M22" s="76"/>
      <c r="N22" s="76"/>
    </row>
    <row r="23" spans="1:14" ht="21.4" customHeight="1">
      <c r="A23" s="349"/>
      <c r="B23" s="349"/>
      <c r="C23" s="204"/>
      <c r="D23" s="204"/>
      <c r="E23" s="349"/>
      <c r="F23" s="349"/>
      <c r="G23" s="73"/>
      <c r="H23" s="73"/>
      <c r="I23" s="73"/>
      <c r="J23" s="77"/>
      <c r="K23" s="79"/>
      <c r="L23" s="79" t="str">
        <f t="shared" si="0"/>
        <v/>
      </c>
      <c r="M23" s="74"/>
      <c r="N23" s="74"/>
    </row>
    <row r="24" spans="1:14" ht="21.4" customHeight="1">
      <c r="A24" s="348"/>
      <c r="B24" s="348"/>
      <c r="C24" s="205"/>
      <c r="D24" s="205"/>
      <c r="E24" s="348"/>
      <c r="F24" s="348"/>
      <c r="G24" s="75"/>
      <c r="H24" s="75"/>
      <c r="I24" s="75"/>
      <c r="J24" s="78"/>
      <c r="K24" s="80"/>
      <c r="L24" s="80" t="str">
        <f t="shared" si="0"/>
        <v/>
      </c>
      <c r="M24" s="76"/>
      <c r="N24" s="76"/>
    </row>
    <row r="25" spans="1:14" ht="21.4" customHeight="1">
      <c r="A25" s="349"/>
      <c r="B25" s="349"/>
      <c r="C25" s="204"/>
      <c r="D25" s="204"/>
      <c r="E25" s="349"/>
      <c r="F25" s="349"/>
      <c r="G25" s="73"/>
      <c r="H25" s="73"/>
      <c r="I25" s="73"/>
      <c r="J25" s="77"/>
      <c r="K25" s="79"/>
      <c r="L25" s="79" t="str">
        <f t="shared" si="0"/>
        <v/>
      </c>
      <c r="M25" s="74"/>
      <c r="N25" s="74"/>
    </row>
    <row r="26" spans="1:14" ht="21.4" customHeight="1">
      <c r="A26" s="348"/>
      <c r="B26" s="348"/>
      <c r="C26" s="205"/>
      <c r="D26" s="205"/>
      <c r="E26" s="348"/>
      <c r="F26" s="348"/>
      <c r="G26" s="75"/>
      <c r="H26" s="75"/>
      <c r="I26" s="75"/>
      <c r="J26" s="78"/>
      <c r="K26" s="80"/>
      <c r="L26" s="80" t="str">
        <f t="shared" si="0"/>
        <v/>
      </c>
      <c r="M26" s="76"/>
      <c r="N26" s="76"/>
    </row>
    <row r="27" spans="1:14" ht="21.4" customHeight="1">
      <c r="A27" s="349"/>
      <c r="B27" s="349"/>
      <c r="C27" s="204"/>
      <c r="D27" s="204"/>
      <c r="E27" s="349"/>
      <c r="F27" s="349"/>
      <c r="G27" s="73"/>
      <c r="H27" s="73"/>
      <c r="I27" s="73"/>
      <c r="J27" s="77"/>
      <c r="K27" s="79"/>
      <c r="L27" s="79" t="str">
        <f t="shared" si="0"/>
        <v/>
      </c>
      <c r="M27" s="74"/>
      <c r="N27" s="74"/>
    </row>
    <row r="28" spans="1:14" ht="21.4" customHeight="1">
      <c r="A28" s="348"/>
      <c r="B28" s="348"/>
      <c r="C28" s="205"/>
      <c r="D28" s="205"/>
      <c r="E28" s="348"/>
      <c r="F28" s="348"/>
      <c r="G28" s="75"/>
      <c r="H28" s="75"/>
      <c r="I28" s="75"/>
      <c r="J28" s="78"/>
      <c r="K28" s="80"/>
      <c r="L28" s="80" t="str">
        <f t="shared" si="0"/>
        <v/>
      </c>
      <c r="M28" s="76"/>
      <c r="N28" s="76"/>
    </row>
    <row r="29" spans="1:14" ht="21.4" customHeight="1">
      <c r="A29" s="349"/>
      <c r="B29" s="349"/>
      <c r="C29" s="204"/>
      <c r="D29" s="204"/>
      <c r="E29" s="349"/>
      <c r="F29" s="349"/>
      <c r="G29" s="73"/>
      <c r="H29" s="73"/>
      <c r="I29" s="73"/>
      <c r="J29" s="77"/>
      <c r="K29" s="79"/>
      <c r="L29" s="79" t="str">
        <f t="shared" si="0"/>
        <v/>
      </c>
      <c r="M29" s="74"/>
      <c r="N29" s="74"/>
    </row>
    <row r="30" spans="1:14" ht="21.4" customHeight="1">
      <c r="A30" s="348"/>
      <c r="B30" s="348"/>
      <c r="C30" s="205"/>
      <c r="D30" s="205"/>
      <c r="E30" s="348"/>
      <c r="F30" s="348"/>
      <c r="G30" s="75"/>
      <c r="H30" s="75"/>
      <c r="I30" s="75"/>
      <c r="J30" s="78"/>
      <c r="K30" s="80"/>
      <c r="L30" s="80" t="str">
        <f t="shared" si="0"/>
        <v/>
      </c>
      <c r="M30" s="76"/>
      <c r="N30" s="76"/>
    </row>
    <row r="31" spans="1:14" ht="21.4" customHeight="1">
      <c r="A31" s="349"/>
      <c r="B31" s="349"/>
      <c r="C31" s="204"/>
      <c r="D31" s="204"/>
      <c r="E31" s="349"/>
      <c r="F31" s="349"/>
      <c r="G31" s="73"/>
      <c r="H31" s="73"/>
      <c r="I31" s="73"/>
      <c r="J31" s="77"/>
      <c r="K31" s="79"/>
      <c r="L31" s="79" t="str">
        <f t="shared" si="0"/>
        <v/>
      </c>
      <c r="M31" s="74"/>
      <c r="N31" s="74"/>
    </row>
    <row r="32" spans="1:14" ht="21.4" customHeight="1">
      <c r="A32" s="348"/>
      <c r="B32" s="348"/>
      <c r="C32" s="205"/>
      <c r="D32" s="205"/>
      <c r="E32" s="348"/>
      <c r="F32" s="348"/>
      <c r="G32" s="75"/>
      <c r="H32" s="75"/>
      <c r="I32" s="75"/>
      <c r="J32" s="78"/>
      <c r="K32" s="80"/>
      <c r="L32" s="80" t="str">
        <f t="shared" si="0"/>
        <v/>
      </c>
      <c r="M32" s="76"/>
      <c r="N32" s="76"/>
    </row>
    <row r="33" spans="1:14" ht="21.4" customHeight="1">
      <c r="A33" s="349"/>
      <c r="B33" s="349"/>
      <c r="C33" s="204"/>
      <c r="D33" s="204"/>
      <c r="E33" s="349"/>
      <c r="F33" s="349"/>
      <c r="G33" s="73"/>
      <c r="H33" s="73"/>
      <c r="I33" s="73"/>
      <c r="J33" s="77"/>
      <c r="K33" s="79"/>
      <c r="L33" s="79" t="str">
        <f t="shared" si="0"/>
        <v/>
      </c>
      <c r="M33" s="74"/>
      <c r="N33" s="74"/>
    </row>
    <row r="34" spans="1:14" ht="21.4" customHeight="1">
      <c r="A34" s="348"/>
      <c r="B34" s="348"/>
      <c r="C34" s="205"/>
      <c r="D34" s="205"/>
      <c r="E34" s="348"/>
      <c r="F34" s="348"/>
      <c r="G34" s="75"/>
      <c r="H34" s="75"/>
      <c r="I34" s="75"/>
      <c r="J34" s="78"/>
      <c r="K34" s="80"/>
      <c r="L34" s="80" t="str">
        <f t="shared" si="0"/>
        <v/>
      </c>
      <c r="M34" s="76"/>
      <c r="N34" s="76"/>
    </row>
    <row r="35" spans="1:14" ht="21.4" customHeight="1">
      <c r="A35" s="349"/>
      <c r="B35" s="349"/>
      <c r="C35" s="204"/>
      <c r="D35" s="204"/>
      <c r="E35" s="349"/>
      <c r="F35" s="349"/>
      <c r="G35" s="73"/>
      <c r="H35" s="73"/>
      <c r="I35" s="73"/>
      <c r="J35" s="77"/>
      <c r="K35" s="79"/>
      <c r="L35" s="79" t="str">
        <f t="shared" si="0"/>
        <v/>
      </c>
      <c r="M35" s="74"/>
      <c r="N35" s="74"/>
    </row>
    <row r="36" spans="1:14" ht="11.1" customHeight="1">
      <c r="A36" s="350" t="s">
        <v>93</v>
      </c>
      <c r="B36" s="350"/>
      <c r="C36" s="350"/>
      <c r="D36" s="350"/>
      <c r="E36" s="350"/>
      <c r="F36" s="350"/>
      <c r="G36" s="340" t="s">
        <v>94</v>
      </c>
      <c r="H36" s="340"/>
      <c r="I36" s="340"/>
      <c r="J36" s="341">
        <f>SUM(J19:J35)</f>
        <v>0</v>
      </c>
      <c r="K36" s="340" t="s">
        <v>95</v>
      </c>
      <c r="L36" s="343">
        <f>SUM(L19:L35)</f>
        <v>0</v>
      </c>
      <c r="M36" s="346" t="s">
        <v>96</v>
      </c>
      <c r="N36" s="347"/>
    </row>
    <row r="37" spans="1:14" ht="15.75" customHeight="1">
      <c r="A37" s="350"/>
      <c r="B37" s="350"/>
      <c r="C37" s="350"/>
      <c r="D37" s="350"/>
      <c r="E37" s="350"/>
      <c r="F37" s="350"/>
      <c r="G37" s="340"/>
      <c r="H37" s="340"/>
      <c r="I37" s="340"/>
      <c r="J37" s="342"/>
      <c r="K37" s="340"/>
      <c r="L37" s="344"/>
      <c r="M37" s="347"/>
      <c r="N37" s="347"/>
    </row>
    <row r="38" spans="1:14" ht="22.9" customHeight="1">
      <c r="A38" s="350"/>
      <c r="B38" s="350"/>
      <c r="C38" s="350"/>
      <c r="D38" s="350"/>
      <c r="E38" s="350"/>
      <c r="F38" s="350"/>
      <c r="G38" s="340"/>
      <c r="H38" s="340"/>
      <c r="I38" s="340"/>
      <c r="J38" s="342"/>
      <c r="K38" s="340"/>
      <c r="L38" s="345"/>
      <c r="M38" s="347"/>
      <c r="N38" s="347"/>
    </row>
  </sheetData>
  <mergeCells count="69">
    <mergeCell ref="A19:B19"/>
    <mergeCell ref="E19:F19"/>
    <mergeCell ref="A20:B20"/>
    <mergeCell ref="E20:F20"/>
    <mergeCell ref="A21:B21"/>
    <mergeCell ref="E21:F21"/>
    <mergeCell ref="A13:N13"/>
    <mergeCell ref="A14:N14"/>
    <mergeCell ref="G15:H15"/>
    <mergeCell ref="J15:N15"/>
    <mergeCell ref="A16:H16"/>
    <mergeCell ref="I16:N16"/>
    <mergeCell ref="A17:B18"/>
    <mergeCell ref="E17:F18"/>
    <mergeCell ref="G17:H17"/>
    <mergeCell ref="I17:I18"/>
    <mergeCell ref="J17:J18"/>
    <mergeCell ref="C17:C18"/>
    <mergeCell ref="K17:K18"/>
    <mergeCell ref="L17:L18"/>
    <mergeCell ref="M17:M18"/>
    <mergeCell ref="N17:N18"/>
    <mergeCell ref="E22:F22"/>
    <mergeCell ref="A23:B23"/>
    <mergeCell ref="E23:F23"/>
    <mergeCell ref="A24:B24"/>
    <mergeCell ref="E24:F24"/>
    <mergeCell ref="A22:B22"/>
    <mergeCell ref="A25:B25"/>
    <mergeCell ref="E25:F25"/>
    <mergeCell ref="A26:B26"/>
    <mergeCell ref="E26:F26"/>
    <mergeCell ref="A27:B27"/>
    <mergeCell ref="E27:F27"/>
    <mergeCell ref="A28:B28"/>
    <mergeCell ref="E28:F28"/>
    <mergeCell ref="A29:B29"/>
    <mergeCell ref="E29:F29"/>
    <mergeCell ref="A30:B30"/>
    <mergeCell ref="E30:F30"/>
    <mergeCell ref="A31:B31"/>
    <mergeCell ref="E31:F31"/>
    <mergeCell ref="A32:B32"/>
    <mergeCell ref="E32:F32"/>
    <mergeCell ref="A33:B33"/>
    <mergeCell ref="E33:F33"/>
    <mergeCell ref="A34:B34"/>
    <mergeCell ref="E34:F34"/>
    <mergeCell ref="A35:B35"/>
    <mergeCell ref="E35:F35"/>
    <mergeCell ref="A36:F38"/>
    <mergeCell ref="G36:I38"/>
    <mergeCell ref="J36:J38"/>
    <mergeCell ref="K36:K38"/>
    <mergeCell ref="L36:L38"/>
    <mergeCell ref="M36:N38"/>
    <mergeCell ref="A7:H8"/>
    <mergeCell ref="A1:H2"/>
    <mergeCell ref="I1:L1"/>
    <mergeCell ref="I2:L2"/>
    <mergeCell ref="M1:N2"/>
    <mergeCell ref="A3:N4"/>
    <mergeCell ref="A5:B5"/>
    <mergeCell ref="E5:F5"/>
    <mergeCell ref="G5:H5"/>
    <mergeCell ref="I5:J5"/>
    <mergeCell ref="K5:L5"/>
    <mergeCell ref="M5:N5"/>
    <mergeCell ref="A6:N6"/>
  </mergeCells>
  <hyperlinks>
    <hyperlink ref="M1" location="MENU!A1" tooltip="Volver al Menú" display="◄ MENU" xr:uid="{0257D3EA-08B6-4B39-8137-29CE756D64FA}"/>
  </hyperlinks>
  <printOptions horizontalCentered="1"/>
  <pageMargins left="0.7" right="0.7" top="0.75" bottom="0.75" header="0.511811023622047" footer="0.511811023622047"/>
  <pageSetup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249977111117893"/>
    <pageSetUpPr fitToPage="1"/>
  </sheetPr>
  <dimension ref="A1:P87"/>
  <sheetViews>
    <sheetView showGridLines="0" topLeftCell="D1" zoomScaleNormal="100" workbookViewId="0">
      <pane ySplit="6" topLeftCell="A25" activePane="bottomLeft" state="frozen"/>
      <selection pane="bottomLeft" activeCell="J39" sqref="J39:L40"/>
    </sheetView>
  </sheetViews>
  <sheetFormatPr baseColWidth="10" defaultColWidth="11.42578125" defaultRowHeight="15"/>
  <cols>
    <col min="1" max="1" width="21.28515625" bestFit="1" customWidth="1"/>
    <col min="2" max="2" width="15.7109375" customWidth="1"/>
    <col min="3" max="3" width="18" customWidth="1"/>
    <col min="4" max="4" width="14.5703125" customWidth="1"/>
    <col min="5" max="5" width="20.140625" customWidth="1"/>
    <col min="6" max="6" width="5.7109375" customWidth="1"/>
    <col min="7" max="7" width="8.5703125" bestFit="1" customWidth="1"/>
    <col min="8" max="8" width="8.28515625" bestFit="1" customWidth="1"/>
    <col min="9" max="9" width="7.5703125" customWidth="1"/>
    <col min="10" max="10" width="6.42578125" customWidth="1"/>
    <col min="11" max="12" width="8.7109375" customWidth="1"/>
  </cols>
  <sheetData>
    <row r="1" spans="1:16">
      <c r="A1" s="332" t="s">
        <v>57</v>
      </c>
      <c r="B1" s="332"/>
      <c r="C1" s="332"/>
      <c r="D1" s="332"/>
      <c r="E1" s="332"/>
      <c r="F1" s="332"/>
      <c r="G1" s="333" t="s">
        <v>232</v>
      </c>
      <c r="H1" s="333"/>
      <c r="I1" s="333"/>
      <c r="J1" s="333"/>
      <c r="K1" s="335" t="s">
        <v>228</v>
      </c>
      <c r="L1" s="336"/>
    </row>
    <row r="2" spans="1:16">
      <c r="A2" s="332"/>
      <c r="B2" s="332"/>
      <c r="C2" s="332"/>
      <c r="D2" s="332"/>
      <c r="E2" s="332"/>
      <c r="F2" s="332"/>
      <c r="G2" s="334" t="s">
        <v>227</v>
      </c>
      <c r="H2" s="334"/>
      <c r="I2" s="334"/>
      <c r="J2" s="334"/>
      <c r="K2" s="336"/>
      <c r="L2" s="336"/>
    </row>
    <row r="3" spans="1:16">
      <c r="A3" s="372" t="s">
        <v>233</v>
      </c>
      <c r="B3" s="372"/>
      <c r="C3" s="372"/>
      <c r="D3" s="372"/>
      <c r="E3" s="372"/>
      <c r="F3" s="372"/>
      <c r="G3" s="372"/>
      <c r="H3" s="372"/>
      <c r="I3" s="372"/>
      <c r="J3" s="372"/>
      <c r="K3" s="372"/>
      <c r="L3" s="372"/>
    </row>
    <row r="4" spans="1:16">
      <c r="A4" s="372"/>
      <c r="B4" s="372"/>
      <c r="C4" s="372"/>
      <c r="D4" s="372"/>
      <c r="E4" s="372"/>
      <c r="F4" s="372"/>
      <c r="G4" s="372"/>
      <c r="H4" s="372"/>
      <c r="I4" s="372"/>
      <c r="J4" s="372"/>
      <c r="K4" s="372"/>
      <c r="L4" s="372"/>
    </row>
    <row r="5" spans="1:16">
      <c r="A5" s="338" t="s">
        <v>44</v>
      </c>
      <c r="B5" s="338"/>
      <c r="C5" s="339"/>
      <c r="D5" s="339"/>
      <c r="E5" s="338" t="s">
        <v>230</v>
      </c>
      <c r="F5" s="338"/>
      <c r="G5" s="339"/>
      <c r="H5" s="339"/>
      <c r="I5" s="338" t="s">
        <v>100</v>
      </c>
      <c r="J5" s="338"/>
      <c r="K5" s="339"/>
      <c r="L5" s="339"/>
    </row>
    <row r="6" spans="1:16">
      <c r="A6" s="373"/>
      <c r="B6" s="373"/>
      <c r="C6" s="373"/>
      <c r="D6" s="373"/>
      <c r="E6" s="373"/>
      <c r="F6" s="373"/>
      <c r="G6" s="373"/>
      <c r="H6" s="373"/>
      <c r="I6" s="373"/>
      <c r="J6" s="373"/>
      <c r="K6" s="373"/>
      <c r="L6" s="373"/>
    </row>
    <row r="7" spans="1:16">
      <c r="A7" s="387" t="s">
        <v>97</v>
      </c>
      <c r="B7" s="387"/>
      <c r="C7" s="387"/>
      <c r="D7" s="387"/>
      <c r="E7" s="387"/>
      <c r="F7" s="387"/>
      <c r="G7" s="387"/>
      <c r="H7" s="387"/>
      <c r="I7" s="387"/>
      <c r="J7" s="387" t="s">
        <v>27</v>
      </c>
      <c r="K7" s="387"/>
      <c r="L7" s="387"/>
    </row>
    <row r="8" spans="1:16">
      <c r="A8" s="388" t="s">
        <v>98</v>
      </c>
      <c r="B8" s="387"/>
      <c r="C8" s="387"/>
      <c r="D8" s="387"/>
      <c r="E8" s="387"/>
      <c r="F8" s="387"/>
      <c r="G8" s="387"/>
      <c r="H8" s="387"/>
      <c r="I8" s="387"/>
      <c r="J8" s="387" t="s">
        <v>99</v>
      </c>
      <c r="K8" s="387"/>
      <c r="L8" s="387"/>
    </row>
    <row r="9" spans="1:16">
      <c r="A9" s="81" t="s">
        <v>100</v>
      </c>
      <c r="B9" s="81"/>
      <c r="C9" s="389"/>
      <c r="D9" s="389"/>
      <c r="E9" s="389"/>
      <c r="F9" s="389"/>
      <c r="G9" s="389"/>
      <c r="H9" s="389"/>
      <c r="I9" s="387" t="s">
        <v>79</v>
      </c>
      <c r="J9" s="387"/>
      <c r="K9" s="387"/>
      <c r="L9" s="387"/>
    </row>
    <row r="10" spans="1:16" ht="36" customHeight="1">
      <c r="A10" s="385" t="s">
        <v>101</v>
      </c>
      <c r="B10" s="385"/>
      <c r="C10" s="385"/>
      <c r="D10" s="82"/>
      <c r="E10" s="390" t="s">
        <v>102</v>
      </c>
      <c r="F10" s="390"/>
      <c r="G10" s="390"/>
      <c r="H10" s="390"/>
      <c r="I10" s="390"/>
      <c r="J10" s="390"/>
      <c r="K10" s="390"/>
      <c r="L10" s="390"/>
    </row>
    <row r="11" spans="1:16" ht="28.5" customHeight="1">
      <c r="A11" s="391" t="s">
        <v>103</v>
      </c>
      <c r="B11" s="391"/>
      <c r="C11" s="391"/>
      <c r="D11" s="74"/>
      <c r="E11" s="392" t="s">
        <v>77</v>
      </c>
      <c r="F11" s="392"/>
      <c r="G11" s="83"/>
      <c r="H11" s="393" t="s">
        <v>78</v>
      </c>
      <c r="I11" s="393"/>
      <c r="J11" s="393"/>
      <c r="K11" s="382"/>
      <c r="L11" s="382"/>
      <c r="M11" s="384"/>
      <c r="N11" s="384"/>
      <c r="O11" s="384"/>
      <c r="P11" s="384"/>
    </row>
    <row r="12" spans="1:16" s="41" customFormat="1" ht="15" customHeight="1">
      <c r="A12" s="385" t="s">
        <v>104</v>
      </c>
      <c r="B12" s="385"/>
      <c r="C12" s="385"/>
      <c r="D12" s="385"/>
      <c r="E12" s="386" t="s">
        <v>105</v>
      </c>
      <c r="F12" s="386"/>
      <c r="G12" s="386"/>
      <c r="H12" s="386"/>
      <c r="I12" s="386"/>
      <c r="J12" s="386"/>
      <c r="K12" s="386"/>
      <c r="L12" s="386"/>
      <c r="M12" s="383"/>
      <c r="N12" s="383"/>
      <c r="O12" s="383"/>
      <c r="P12"/>
    </row>
    <row r="13" spans="1:16">
      <c r="A13" s="381" t="s">
        <v>106</v>
      </c>
      <c r="B13" s="381"/>
      <c r="C13" s="381"/>
      <c r="D13" s="74"/>
      <c r="E13" s="381" t="s">
        <v>107</v>
      </c>
      <c r="F13" s="381"/>
      <c r="G13" s="74"/>
      <c r="H13" s="381" t="s">
        <v>108</v>
      </c>
      <c r="I13" s="381"/>
      <c r="J13" s="382"/>
      <c r="K13" s="382"/>
      <c r="L13" s="382"/>
      <c r="M13" s="383"/>
      <c r="N13" s="383"/>
      <c r="O13" s="383"/>
    </row>
    <row r="14" spans="1:16" ht="15.75">
      <c r="A14" s="381" t="s">
        <v>109</v>
      </c>
      <c r="B14" s="381"/>
      <c r="C14" s="381"/>
      <c r="D14" s="74"/>
      <c r="E14" s="381" t="s">
        <v>110</v>
      </c>
      <c r="F14" s="381"/>
      <c r="G14" s="74"/>
      <c r="H14" s="381" t="s">
        <v>111</v>
      </c>
      <c r="I14" s="381"/>
      <c r="J14" s="382"/>
      <c r="K14" s="382"/>
      <c r="L14" s="382"/>
      <c r="M14" s="383"/>
      <c r="N14" s="383"/>
      <c r="O14" s="383"/>
      <c r="P14" s="42"/>
    </row>
    <row r="15" spans="1:16" ht="14.65" customHeight="1">
      <c r="A15" s="84" t="s">
        <v>112</v>
      </c>
      <c r="B15" s="84"/>
      <c r="C15" s="84"/>
      <c r="D15" s="374" t="s">
        <v>113</v>
      </c>
      <c r="E15" s="374"/>
      <c r="F15" s="374"/>
      <c r="G15" s="85" t="s">
        <v>114</v>
      </c>
      <c r="H15" s="375" t="s">
        <v>99</v>
      </c>
      <c r="I15" s="375"/>
      <c r="J15" s="376" t="s">
        <v>115</v>
      </c>
      <c r="K15" s="376"/>
      <c r="L15" s="376"/>
    </row>
    <row r="16" spans="1:16" ht="14.65" customHeight="1">
      <c r="A16" s="378" t="s">
        <v>116</v>
      </c>
      <c r="B16" s="378"/>
      <c r="C16" s="378"/>
      <c r="D16" s="379" t="s">
        <v>117</v>
      </c>
      <c r="E16" s="379"/>
      <c r="F16" s="88"/>
      <c r="G16" s="88" t="s">
        <v>114</v>
      </c>
      <c r="H16" s="89" t="s">
        <v>118</v>
      </c>
      <c r="I16" s="89"/>
      <c r="J16" s="377"/>
      <c r="K16" s="377"/>
      <c r="L16" s="377"/>
    </row>
    <row r="17" spans="1:12" ht="2.65" customHeight="1">
      <c r="A17" s="380"/>
      <c r="B17" s="380"/>
      <c r="C17" s="380"/>
      <c r="D17" s="380"/>
      <c r="E17" s="380"/>
      <c r="F17" s="380"/>
      <c r="G17" s="380"/>
      <c r="H17" s="380"/>
      <c r="I17" s="380"/>
      <c r="J17" s="380"/>
      <c r="K17" s="380"/>
      <c r="L17" s="380"/>
    </row>
    <row r="18" spans="1:12" ht="14.65" customHeight="1">
      <c r="A18" s="84" t="s">
        <v>112</v>
      </c>
      <c r="B18" s="84"/>
      <c r="C18" s="84"/>
      <c r="D18" s="374" t="s">
        <v>113</v>
      </c>
      <c r="E18" s="374"/>
      <c r="F18" s="374"/>
      <c r="G18" s="85" t="s">
        <v>114</v>
      </c>
      <c r="H18" s="375" t="s">
        <v>99</v>
      </c>
      <c r="I18" s="375"/>
      <c r="J18" s="376" t="s">
        <v>115</v>
      </c>
      <c r="K18" s="376"/>
      <c r="L18" s="376"/>
    </row>
    <row r="19" spans="1:12" ht="15" customHeight="1">
      <c r="A19" s="378" t="s">
        <v>116</v>
      </c>
      <c r="B19" s="378"/>
      <c r="C19" s="378"/>
      <c r="D19" s="379" t="s">
        <v>117</v>
      </c>
      <c r="E19" s="379"/>
      <c r="F19" s="88"/>
      <c r="G19" s="88" t="s">
        <v>114</v>
      </c>
      <c r="H19" s="89" t="s">
        <v>118</v>
      </c>
      <c r="I19" s="89"/>
      <c r="J19" s="377"/>
      <c r="K19" s="377"/>
      <c r="L19" s="377"/>
    </row>
    <row r="20" spans="1:12" ht="3" customHeight="1">
      <c r="A20" s="380"/>
      <c r="B20" s="380"/>
      <c r="C20" s="380"/>
      <c r="D20" s="380"/>
      <c r="E20" s="380"/>
      <c r="F20" s="380"/>
      <c r="G20" s="380"/>
      <c r="H20" s="380"/>
      <c r="I20" s="380"/>
      <c r="J20" s="380"/>
      <c r="K20" s="380"/>
      <c r="L20" s="380"/>
    </row>
    <row r="21" spans="1:12" ht="14.65" customHeight="1">
      <c r="A21" s="84" t="s">
        <v>112</v>
      </c>
      <c r="B21" s="84"/>
      <c r="C21" s="84"/>
      <c r="D21" s="374" t="s">
        <v>113</v>
      </c>
      <c r="E21" s="374"/>
      <c r="F21" s="374"/>
      <c r="G21" s="85" t="s">
        <v>114</v>
      </c>
      <c r="H21" s="375" t="s">
        <v>99</v>
      </c>
      <c r="I21" s="375"/>
      <c r="J21" s="376" t="s">
        <v>115</v>
      </c>
      <c r="K21" s="376"/>
      <c r="L21" s="376"/>
    </row>
    <row r="22" spans="1:12" ht="15" customHeight="1">
      <c r="A22" s="378" t="s">
        <v>116</v>
      </c>
      <c r="B22" s="378"/>
      <c r="C22" s="378"/>
      <c r="D22" s="379" t="s">
        <v>117</v>
      </c>
      <c r="E22" s="379"/>
      <c r="F22" s="88"/>
      <c r="G22" s="88" t="s">
        <v>114</v>
      </c>
      <c r="H22" s="89" t="s">
        <v>118</v>
      </c>
      <c r="I22" s="89"/>
      <c r="J22" s="377"/>
      <c r="K22" s="377"/>
      <c r="L22" s="377"/>
    </row>
    <row r="23" spans="1:12" ht="3" customHeight="1">
      <c r="A23" s="380"/>
      <c r="B23" s="380"/>
      <c r="C23" s="380"/>
      <c r="D23" s="380"/>
      <c r="E23" s="380"/>
      <c r="F23" s="380"/>
      <c r="G23" s="380"/>
      <c r="H23" s="380"/>
      <c r="I23" s="380"/>
      <c r="J23" s="380"/>
      <c r="K23" s="380"/>
      <c r="L23" s="380"/>
    </row>
    <row r="24" spans="1:12" ht="14.65" customHeight="1">
      <c r="A24" s="84" t="s">
        <v>112</v>
      </c>
      <c r="B24" s="84"/>
      <c r="C24" s="84"/>
      <c r="D24" s="374" t="s">
        <v>113</v>
      </c>
      <c r="E24" s="374"/>
      <c r="F24" s="374"/>
      <c r="G24" s="85" t="s">
        <v>114</v>
      </c>
      <c r="H24" s="375" t="s">
        <v>99</v>
      </c>
      <c r="I24" s="375"/>
      <c r="J24" s="376" t="s">
        <v>115</v>
      </c>
      <c r="K24" s="376"/>
      <c r="L24" s="376"/>
    </row>
    <row r="25" spans="1:12" ht="15" customHeight="1">
      <c r="A25" s="378" t="s">
        <v>116</v>
      </c>
      <c r="B25" s="378"/>
      <c r="C25" s="378"/>
      <c r="D25" s="379" t="s">
        <v>117</v>
      </c>
      <c r="E25" s="379"/>
      <c r="F25" s="88"/>
      <c r="G25" s="88" t="s">
        <v>114</v>
      </c>
      <c r="H25" s="89" t="s">
        <v>118</v>
      </c>
      <c r="I25" s="89"/>
      <c r="J25" s="377"/>
      <c r="K25" s="377"/>
      <c r="L25" s="377"/>
    </row>
    <row r="26" spans="1:12" ht="3" customHeight="1">
      <c r="A26" s="380"/>
      <c r="B26" s="380"/>
      <c r="C26" s="380"/>
      <c r="D26" s="380"/>
      <c r="E26" s="380"/>
      <c r="F26" s="380"/>
      <c r="G26" s="380"/>
      <c r="H26" s="380"/>
      <c r="I26" s="380"/>
      <c r="J26" s="380"/>
      <c r="K26" s="380"/>
      <c r="L26" s="380"/>
    </row>
    <row r="27" spans="1:12" ht="14.65" customHeight="1">
      <c r="A27" s="84" t="s">
        <v>112</v>
      </c>
      <c r="B27" s="84"/>
      <c r="C27" s="84"/>
      <c r="D27" s="374" t="s">
        <v>113</v>
      </c>
      <c r="E27" s="374"/>
      <c r="F27" s="374"/>
      <c r="G27" s="85" t="s">
        <v>114</v>
      </c>
      <c r="H27" s="375" t="s">
        <v>99</v>
      </c>
      <c r="I27" s="375"/>
      <c r="J27" s="376" t="s">
        <v>115</v>
      </c>
      <c r="K27" s="376"/>
      <c r="L27" s="376"/>
    </row>
    <row r="28" spans="1:12" ht="15" customHeight="1">
      <c r="A28" s="378" t="s">
        <v>116</v>
      </c>
      <c r="B28" s="378"/>
      <c r="C28" s="378"/>
      <c r="D28" s="379" t="s">
        <v>117</v>
      </c>
      <c r="E28" s="379"/>
      <c r="F28" s="88"/>
      <c r="G28" s="88" t="s">
        <v>114</v>
      </c>
      <c r="H28" s="89" t="s">
        <v>118</v>
      </c>
      <c r="I28" s="89"/>
      <c r="J28" s="377"/>
      <c r="K28" s="377"/>
      <c r="L28" s="377"/>
    </row>
    <row r="29" spans="1:12" ht="4.9000000000000004" customHeight="1">
      <c r="A29" s="86"/>
      <c r="B29" s="86"/>
      <c r="C29" s="86"/>
      <c r="D29" s="87"/>
      <c r="E29" s="87"/>
      <c r="F29" s="88"/>
      <c r="G29" s="88"/>
      <c r="H29" s="89"/>
      <c r="I29" s="89"/>
      <c r="J29" s="90"/>
      <c r="K29" s="90"/>
      <c r="L29" s="90"/>
    </row>
    <row r="30" spans="1:12" ht="15" customHeight="1">
      <c r="A30" s="84" t="s">
        <v>112</v>
      </c>
      <c r="B30" s="84"/>
      <c r="C30" s="84"/>
      <c r="D30" s="374" t="s">
        <v>113</v>
      </c>
      <c r="E30" s="374"/>
      <c r="F30" s="374"/>
      <c r="G30" s="85" t="s">
        <v>114</v>
      </c>
      <c r="H30" s="375" t="s">
        <v>99</v>
      </c>
      <c r="I30" s="375"/>
      <c r="J30" s="376" t="s">
        <v>115</v>
      </c>
      <c r="K30" s="376"/>
      <c r="L30" s="376"/>
    </row>
    <row r="31" spans="1:12" ht="15" customHeight="1">
      <c r="A31" s="378" t="s">
        <v>116</v>
      </c>
      <c r="B31" s="378"/>
      <c r="C31" s="378"/>
      <c r="D31" s="379" t="s">
        <v>117</v>
      </c>
      <c r="E31" s="379"/>
      <c r="F31" s="88"/>
      <c r="G31" s="88" t="s">
        <v>114</v>
      </c>
      <c r="H31" s="89" t="s">
        <v>118</v>
      </c>
      <c r="I31" s="89"/>
      <c r="J31" s="377"/>
      <c r="K31" s="377"/>
      <c r="L31" s="377"/>
    </row>
    <row r="32" spans="1:12" ht="3.4" customHeight="1">
      <c r="A32" s="86"/>
      <c r="B32" s="86"/>
      <c r="C32" s="86"/>
      <c r="D32" s="87"/>
      <c r="E32" s="87"/>
      <c r="F32" s="88"/>
      <c r="G32" s="88"/>
      <c r="H32" s="89"/>
      <c r="I32" s="89"/>
      <c r="J32" s="90"/>
      <c r="K32" s="90"/>
      <c r="L32" s="90"/>
    </row>
    <row r="33" spans="1:12" ht="15" customHeight="1">
      <c r="A33" s="84" t="s">
        <v>112</v>
      </c>
      <c r="B33" s="84"/>
      <c r="C33" s="84"/>
      <c r="D33" s="374" t="s">
        <v>113</v>
      </c>
      <c r="E33" s="374"/>
      <c r="F33" s="374"/>
      <c r="G33" s="85" t="s">
        <v>114</v>
      </c>
      <c r="H33" s="375" t="s">
        <v>99</v>
      </c>
      <c r="I33" s="375"/>
      <c r="J33" s="376" t="s">
        <v>115</v>
      </c>
      <c r="K33" s="376"/>
      <c r="L33" s="376"/>
    </row>
    <row r="34" spans="1:12" ht="15" customHeight="1">
      <c r="A34" s="378" t="s">
        <v>116</v>
      </c>
      <c r="B34" s="378"/>
      <c r="C34" s="378"/>
      <c r="D34" s="379" t="s">
        <v>117</v>
      </c>
      <c r="E34" s="379"/>
      <c r="F34" s="88"/>
      <c r="G34" s="88" t="s">
        <v>114</v>
      </c>
      <c r="H34" s="89" t="s">
        <v>118</v>
      </c>
      <c r="I34" s="89"/>
      <c r="J34" s="377"/>
      <c r="K34" s="377"/>
      <c r="L34" s="377"/>
    </row>
    <row r="35" spans="1:12" ht="4.5" customHeight="1">
      <c r="A35" s="86"/>
      <c r="B35" s="86"/>
      <c r="C35" s="86"/>
      <c r="D35" s="87"/>
      <c r="E35" s="87"/>
      <c r="F35" s="88"/>
      <c r="G35" s="88"/>
      <c r="H35" s="89"/>
      <c r="I35" s="89"/>
      <c r="J35" s="90"/>
      <c r="K35" s="90"/>
      <c r="L35" s="90"/>
    </row>
    <row r="36" spans="1:12" ht="15" customHeight="1">
      <c r="A36" s="84" t="s">
        <v>112</v>
      </c>
      <c r="B36" s="84"/>
      <c r="C36" s="84"/>
      <c r="D36" s="374" t="s">
        <v>113</v>
      </c>
      <c r="E36" s="374"/>
      <c r="F36" s="374"/>
      <c r="G36" s="85" t="s">
        <v>114</v>
      </c>
      <c r="H36" s="375" t="s">
        <v>99</v>
      </c>
      <c r="I36" s="375"/>
      <c r="J36" s="376" t="s">
        <v>115</v>
      </c>
      <c r="K36" s="376"/>
      <c r="L36" s="376"/>
    </row>
    <row r="37" spans="1:12" ht="15" customHeight="1">
      <c r="A37" s="378" t="s">
        <v>116</v>
      </c>
      <c r="B37" s="378"/>
      <c r="C37" s="378"/>
      <c r="D37" s="379" t="s">
        <v>117</v>
      </c>
      <c r="E37" s="379"/>
      <c r="F37" s="88"/>
      <c r="G37" s="88" t="s">
        <v>114</v>
      </c>
      <c r="H37" s="89" t="s">
        <v>118</v>
      </c>
      <c r="I37" s="89"/>
      <c r="J37" s="377"/>
      <c r="K37" s="377"/>
      <c r="L37" s="377"/>
    </row>
    <row r="38" spans="1:12" ht="4.9000000000000004" customHeight="1">
      <c r="A38" s="86"/>
      <c r="B38" s="86"/>
      <c r="C38" s="86"/>
      <c r="D38" s="87"/>
      <c r="E38" s="87"/>
      <c r="F38" s="88"/>
      <c r="G38" s="88"/>
      <c r="H38" s="89"/>
      <c r="I38" s="89"/>
      <c r="J38" s="90"/>
      <c r="K38" s="90"/>
      <c r="L38" s="90"/>
    </row>
    <row r="39" spans="1:12" ht="15" customHeight="1">
      <c r="A39" s="84" t="s">
        <v>112</v>
      </c>
      <c r="B39" s="84"/>
      <c r="C39" s="84"/>
      <c r="D39" s="374" t="s">
        <v>113</v>
      </c>
      <c r="E39" s="374"/>
      <c r="F39" s="374"/>
      <c r="G39" s="85" t="s">
        <v>114</v>
      </c>
      <c r="H39" s="375" t="s">
        <v>99</v>
      </c>
      <c r="I39" s="375"/>
      <c r="J39" s="376" t="s">
        <v>115</v>
      </c>
      <c r="K39" s="376"/>
      <c r="L39" s="376"/>
    </row>
    <row r="40" spans="1:12" ht="15" customHeight="1">
      <c r="A40" s="378" t="s">
        <v>116</v>
      </c>
      <c r="B40" s="378"/>
      <c r="C40" s="378"/>
      <c r="D40" s="379" t="s">
        <v>117</v>
      </c>
      <c r="E40" s="379"/>
      <c r="F40" s="88"/>
      <c r="G40" s="88" t="s">
        <v>114</v>
      </c>
      <c r="H40" s="89" t="s">
        <v>118</v>
      </c>
      <c r="I40" s="89"/>
      <c r="J40" s="377"/>
      <c r="K40" s="377"/>
      <c r="L40" s="377"/>
    </row>
    <row r="41" spans="1:12" ht="4.1500000000000004" customHeight="1">
      <c r="A41" s="86"/>
      <c r="B41" s="86"/>
      <c r="C41" s="86"/>
      <c r="D41" s="87"/>
      <c r="E41" s="87"/>
      <c r="F41" s="88"/>
      <c r="G41" s="88"/>
      <c r="H41" s="89"/>
      <c r="I41" s="89"/>
      <c r="J41" s="90"/>
      <c r="K41" s="90"/>
      <c r="L41" s="90"/>
    </row>
    <row r="42" spans="1:12">
      <c r="A42" s="84" t="s">
        <v>112</v>
      </c>
      <c r="B42" s="84"/>
      <c r="C42" s="84"/>
      <c r="D42" s="374" t="s">
        <v>113</v>
      </c>
      <c r="E42" s="374"/>
      <c r="F42" s="374"/>
      <c r="G42" s="85" t="s">
        <v>114</v>
      </c>
      <c r="H42" s="375" t="s">
        <v>99</v>
      </c>
      <c r="I42" s="375"/>
      <c r="J42" s="376" t="s">
        <v>115</v>
      </c>
      <c r="K42" s="376"/>
      <c r="L42" s="376"/>
    </row>
    <row r="43" spans="1:12">
      <c r="A43" s="378" t="s">
        <v>116</v>
      </c>
      <c r="B43" s="378"/>
      <c r="C43" s="378"/>
      <c r="D43" s="379" t="s">
        <v>117</v>
      </c>
      <c r="E43" s="379"/>
      <c r="F43" s="88"/>
      <c r="G43" s="88" t="s">
        <v>114</v>
      </c>
      <c r="H43" s="89" t="s">
        <v>118</v>
      </c>
      <c r="I43" s="89"/>
      <c r="J43" s="377"/>
      <c r="K43" s="377"/>
      <c r="L43" s="377"/>
    </row>
    <row r="44" spans="1:12" ht="12" customHeight="1">
      <c r="A44" s="369" t="s">
        <v>119</v>
      </c>
      <c r="B44" s="370"/>
      <c r="C44" s="370"/>
      <c r="D44" s="370"/>
      <c r="E44" s="370"/>
      <c r="F44" s="370"/>
      <c r="G44" s="370"/>
      <c r="H44" s="371" t="s">
        <v>120</v>
      </c>
      <c r="I44" s="369"/>
      <c r="J44" s="369"/>
      <c r="K44" s="369"/>
      <c r="L44" s="369"/>
    </row>
    <row r="45" spans="1:12" ht="12" customHeight="1">
      <c r="A45" s="370"/>
      <c r="B45" s="370"/>
      <c r="C45" s="370"/>
      <c r="D45" s="370"/>
      <c r="E45" s="370"/>
      <c r="F45" s="370"/>
      <c r="G45" s="370"/>
      <c r="H45" s="369"/>
      <c r="I45" s="369"/>
      <c r="J45" s="369"/>
      <c r="K45" s="369"/>
      <c r="L45" s="369"/>
    </row>
    <row r="46" spans="1:12" ht="7.15" customHeight="1">
      <c r="A46" s="370"/>
      <c r="B46" s="370"/>
      <c r="C46" s="370"/>
      <c r="D46" s="370"/>
      <c r="E46" s="370"/>
      <c r="F46" s="370"/>
      <c r="G46" s="370"/>
      <c r="H46" s="369"/>
      <c r="I46" s="369"/>
      <c r="J46" s="369"/>
      <c r="K46" s="369"/>
      <c r="L46" s="369"/>
    </row>
    <row r="47" spans="1:12" ht="12" customHeight="1">
      <c r="A47" s="370"/>
      <c r="B47" s="370"/>
      <c r="C47" s="370"/>
      <c r="D47" s="370"/>
      <c r="E47" s="370"/>
      <c r="F47" s="370"/>
      <c r="G47" s="370"/>
      <c r="H47" s="369"/>
      <c r="I47" s="369"/>
      <c r="J47" s="369"/>
      <c r="K47" s="369"/>
      <c r="L47" s="369"/>
    </row>
    <row r="48" spans="1:12" ht="30" customHeight="1">
      <c r="A48" s="370"/>
      <c r="B48" s="370"/>
      <c r="C48" s="370"/>
      <c r="D48" s="370"/>
      <c r="E48" s="370"/>
      <c r="F48" s="370"/>
      <c r="G48" s="370"/>
      <c r="H48" s="369"/>
      <c r="I48" s="369"/>
      <c r="J48" s="369"/>
      <c r="K48" s="369"/>
      <c r="L48" s="369"/>
    </row>
    <row r="49" spans="1:11" ht="15.75">
      <c r="A49" s="42"/>
      <c r="B49" s="42"/>
      <c r="C49" s="42"/>
      <c r="D49" s="42"/>
      <c r="E49" s="42"/>
      <c r="F49" s="42"/>
      <c r="G49" s="42"/>
      <c r="H49" s="42"/>
      <c r="I49" s="42"/>
      <c r="J49" s="42"/>
      <c r="K49" s="42"/>
    </row>
    <row r="50" spans="1:11" ht="15.75">
      <c r="A50" s="42"/>
      <c r="B50" s="42"/>
      <c r="C50" s="42"/>
      <c r="D50" s="42"/>
      <c r="E50" s="42"/>
      <c r="F50" s="42"/>
      <c r="G50" s="42"/>
      <c r="H50" s="42"/>
      <c r="I50" s="42"/>
      <c r="J50" s="42"/>
      <c r="K50" s="42"/>
    </row>
    <row r="51" spans="1:11" ht="15.75">
      <c r="A51" s="42"/>
      <c r="B51" s="42"/>
      <c r="C51" s="42"/>
      <c r="D51" s="42"/>
      <c r="E51" s="42"/>
      <c r="F51" s="42"/>
      <c r="G51" s="42"/>
      <c r="H51" s="42"/>
      <c r="I51" s="42"/>
      <c r="J51" s="42"/>
      <c r="K51" s="42"/>
    </row>
    <row r="52" spans="1:11" ht="15.75">
      <c r="A52" s="42"/>
      <c r="B52" s="42"/>
      <c r="C52" s="42"/>
      <c r="D52" s="42"/>
      <c r="E52" s="42"/>
      <c r="F52" s="42"/>
      <c r="G52" s="42"/>
      <c r="H52" s="42"/>
      <c r="I52" s="42"/>
      <c r="J52" s="42"/>
      <c r="K52" s="42"/>
    </row>
    <row r="53" spans="1:11" ht="15.75">
      <c r="A53" s="42"/>
      <c r="B53" s="42"/>
      <c r="C53" s="42"/>
      <c r="D53" s="42"/>
      <c r="E53" s="42"/>
      <c r="F53" s="42"/>
      <c r="G53" s="42"/>
      <c r="H53" s="42"/>
      <c r="I53" s="42"/>
      <c r="J53" s="42"/>
      <c r="K53" s="42"/>
    </row>
    <row r="54" spans="1:11" ht="15.75">
      <c r="A54" s="42"/>
      <c r="B54" s="42"/>
      <c r="C54" s="42"/>
      <c r="D54" s="42"/>
      <c r="E54" s="42"/>
      <c r="F54" s="42"/>
      <c r="G54" s="42"/>
      <c r="H54" s="42"/>
      <c r="I54" s="42"/>
      <c r="J54" s="42"/>
      <c r="K54" s="42"/>
    </row>
    <row r="55" spans="1:11" ht="15.75">
      <c r="A55" s="42"/>
      <c r="B55" s="42"/>
      <c r="C55" s="42"/>
      <c r="D55" s="42"/>
      <c r="E55" s="42"/>
      <c r="F55" s="42"/>
      <c r="G55" s="42"/>
      <c r="H55" s="42"/>
      <c r="I55" s="42"/>
      <c r="J55" s="42"/>
      <c r="K55" s="42"/>
    </row>
    <row r="56" spans="1:11" ht="15.75">
      <c r="A56" s="42"/>
      <c r="B56" s="42"/>
      <c r="C56" s="42"/>
      <c r="D56" s="42"/>
      <c r="E56" s="42"/>
      <c r="F56" s="42"/>
      <c r="G56" s="42"/>
      <c r="H56" s="42"/>
      <c r="I56" s="42"/>
      <c r="J56" s="42"/>
      <c r="K56" s="42"/>
    </row>
    <row r="57" spans="1:11" ht="15.75">
      <c r="A57" s="42"/>
      <c r="B57" s="42"/>
      <c r="C57" s="42"/>
      <c r="D57" s="42"/>
      <c r="E57" s="42"/>
      <c r="F57" s="42"/>
      <c r="G57" s="42"/>
      <c r="H57" s="42"/>
      <c r="I57" s="42"/>
      <c r="J57" s="42"/>
      <c r="K57" s="42"/>
    </row>
    <row r="58" spans="1:11" ht="15.75">
      <c r="A58" s="42"/>
      <c r="B58" s="42"/>
      <c r="C58" s="42"/>
      <c r="D58" s="42"/>
      <c r="E58" s="42"/>
      <c r="F58" s="42"/>
      <c r="G58" s="42"/>
      <c r="H58" s="42"/>
      <c r="I58" s="42"/>
      <c r="J58" s="42"/>
      <c r="K58" s="42"/>
    </row>
    <row r="59" spans="1:11" ht="15.75">
      <c r="A59" s="42"/>
      <c r="B59" s="42"/>
      <c r="C59" s="42"/>
      <c r="D59" s="42"/>
      <c r="E59" s="42"/>
      <c r="F59" s="42"/>
      <c r="G59" s="42"/>
      <c r="H59" s="42"/>
      <c r="I59" s="42"/>
      <c r="J59" s="42"/>
      <c r="K59" s="42"/>
    </row>
    <row r="60" spans="1:11" ht="15.75">
      <c r="A60" s="42"/>
      <c r="B60" s="42"/>
      <c r="C60" s="42"/>
      <c r="D60" s="42"/>
      <c r="E60" s="42"/>
      <c r="F60" s="42"/>
      <c r="G60" s="42"/>
      <c r="H60" s="42"/>
      <c r="I60" s="42"/>
      <c r="J60" s="42"/>
      <c r="K60" s="42"/>
    </row>
    <row r="61" spans="1:11" ht="15.75">
      <c r="A61" s="42"/>
      <c r="B61" s="42"/>
      <c r="C61" s="42"/>
      <c r="D61" s="42"/>
      <c r="E61" s="42"/>
      <c r="F61" s="42"/>
      <c r="G61" s="42"/>
      <c r="H61" s="42"/>
      <c r="I61" s="42"/>
      <c r="J61" s="42"/>
      <c r="K61" s="42"/>
    </row>
    <row r="62" spans="1:11" ht="15.75">
      <c r="A62" s="42"/>
      <c r="B62" s="42"/>
      <c r="C62" s="42"/>
      <c r="D62" s="42"/>
      <c r="E62" s="42"/>
      <c r="F62" s="42"/>
      <c r="G62" s="42"/>
      <c r="H62" s="42"/>
      <c r="I62" s="42"/>
      <c r="J62" s="42"/>
      <c r="K62" s="42"/>
    </row>
    <row r="63" spans="1:11" ht="15.75">
      <c r="A63" s="42"/>
      <c r="B63" s="42"/>
      <c r="C63" s="42"/>
      <c r="D63" s="42"/>
      <c r="E63" s="42"/>
      <c r="F63" s="42"/>
      <c r="G63" s="42"/>
      <c r="H63" s="42"/>
      <c r="I63" s="42"/>
      <c r="J63" s="42"/>
      <c r="K63" s="42"/>
    </row>
    <row r="64" spans="1:11" ht="15.75">
      <c r="A64" s="42"/>
      <c r="B64" s="42"/>
      <c r="C64" s="42"/>
      <c r="D64" s="42"/>
      <c r="E64" s="42"/>
      <c r="F64" s="42"/>
      <c r="G64" s="42"/>
      <c r="H64" s="42"/>
      <c r="I64" s="42"/>
      <c r="J64" s="42"/>
      <c r="K64" s="42"/>
    </row>
    <row r="65" spans="1:11" ht="15.75">
      <c r="A65" s="42"/>
      <c r="B65" s="42"/>
      <c r="C65" s="42"/>
      <c r="D65" s="42"/>
      <c r="E65" s="42"/>
      <c r="F65" s="42"/>
      <c r="G65" s="42"/>
      <c r="H65" s="42"/>
      <c r="I65" s="42"/>
      <c r="J65" s="42"/>
      <c r="K65" s="42"/>
    </row>
    <row r="66" spans="1:11" ht="15.75">
      <c r="A66" s="42"/>
      <c r="B66" s="42"/>
      <c r="C66" s="42"/>
      <c r="D66" s="42"/>
      <c r="E66" s="42"/>
      <c r="F66" s="42"/>
      <c r="G66" s="42"/>
      <c r="H66" s="42"/>
      <c r="I66" s="42"/>
      <c r="J66" s="42"/>
      <c r="K66" s="42"/>
    </row>
    <row r="67" spans="1:11" ht="15.75">
      <c r="A67" s="42"/>
      <c r="B67" s="42"/>
      <c r="C67" s="42"/>
      <c r="D67" s="42"/>
      <c r="E67" s="42"/>
      <c r="F67" s="42"/>
      <c r="G67" s="42"/>
      <c r="H67" s="42"/>
      <c r="I67" s="42"/>
      <c r="J67" s="42"/>
      <c r="K67" s="42"/>
    </row>
    <row r="68" spans="1:11" ht="15.75">
      <c r="A68" s="42"/>
      <c r="B68" s="42"/>
      <c r="C68" s="42"/>
      <c r="D68" s="42"/>
      <c r="E68" s="42"/>
      <c r="F68" s="42"/>
      <c r="G68" s="42"/>
      <c r="H68" s="42"/>
      <c r="I68" s="42"/>
      <c r="J68" s="42"/>
      <c r="K68" s="42"/>
    </row>
    <row r="69" spans="1:11" ht="15.75">
      <c r="A69" s="42"/>
      <c r="B69" s="42"/>
      <c r="C69" s="42"/>
      <c r="D69" s="42"/>
      <c r="E69" s="42"/>
      <c r="F69" s="42"/>
      <c r="G69" s="42"/>
      <c r="H69" s="42"/>
      <c r="I69" s="42"/>
      <c r="J69" s="42"/>
      <c r="K69" s="42"/>
    </row>
    <row r="70" spans="1:11" ht="15.75">
      <c r="A70" s="42"/>
      <c r="B70" s="42"/>
      <c r="C70" s="42"/>
      <c r="D70" s="42"/>
      <c r="E70" s="42"/>
      <c r="F70" s="42"/>
      <c r="G70" s="42"/>
      <c r="H70" s="42"/>
      <c r="I70" s="42"/>
      <c r="J70" s="42"/>
      <c r="K70" s="42"/>
    </row>
    <row r="71" spans="1:11" ht="15.75">
      <c r="A71" s="42"/>
      <c r="B71" s="42"/>
      <c r="C71" s="42"/>
      <c r="D71" s="42"/>
      <c r="E71" s="42"/>
      <c r="F71" s="42"/>
      <c r="G71" s="42"/>
      <c r="H71" s="42"/>
      <c r="I71" s="42"/>
      <c r="J71" s="42"/>
      <c r="K71" s="42"/>
    </row>
    <row r="72" spans="1:11" ht="15.75">
      <c r="A72" s="42"/>
      <c r="B72" s="42"/>
      <c r="C72" s="42"/>
      <c r="D72" s="42"/>
      <c r="E72" s="42"/>
      <c r="F72" s="42"/>
      <c r="G72" s="42"/>
      <c r="H72" s="42"/>
      <c r="I72" s="42"/>
      <c r="J72" s="42"/>
      <c r="K72" s="42"/>
    </row>
    <row r="73" spans="1:11" ht="15.75">
      <c r="A73" s="42"/>
      <c r="B73" s="42"/>
      <c r="C73" s="42"/>
      <c r="D73" s="42"/>
      <c r="E73" s="42"/>
      <c r="F73" s="42"/>
      <c r="G73" s="42"/>
      <c r="H73" s="42"/>
      <c r="I73" s="42"/>
      <c r="J73" s="42"/>
      <c r="K73" s="42"/>
    </row>
    <row r="74" spans="1:11" ht="15.75">
      <c r="A74" s="42"/>
      <c r="B74" s="42"/>
      <c r="C74" s="42"/>
      <c r="D74" s="42"/>
      <c r="E74" s="42"/>
      <c r="F74" s="42"/>
      <c r="G74" s="42"/>
      <c r="H74" s="42"/>
      <c r="I74" s="42"/>
      <c r="J74" s="42"/>
      <c r="K74" s="42"/>
    </row>
    <row r="75" spans="1:11" ht="15.75">
      <c r="A75" s="42"/>
      <c r="B75" s="42"/>
      <c r="C75" s="42"/>
      <c r="D75" s="42"/>
      <c r="E75" s="42"/>
      <c r="F75" s="42"/>
      <c r="G75" s="42"/>
      <c r="H75" s="42"/>
      <c r="I75" s="42"/>
      <c r="J75" s="42"/>
      <c r="K75" s="42"/>
    </row>
    <row r="76" spans="1:11" ht="15.75">
      <c r="A76" s="42"/>
      <c r="B76" s="42"/>
      <c r="C76" s="42"/>
      <c r="D76" s="42"/>
      <c r="E76" s="42"/>
      <c r="F76" s="42"/>
      <c r="G76" s="42"/>
      <c r="H76" s="42"/>
      <c r="I76" s="42"/>
      <c r="J76" s="42"/>
      <c r="K76" s="42"/>
    </row>
    <row r="77" spans="1:11" ht="15.75">
      <c r="A77" s="42"/>
      <c r="B77" s="42"/>
      <c r="C77" s="42"/>
      <c r="D77" s="42"/>
      <c r="E77" s="42"/>
      <c r="F77" s="42"/>
      <c r="G77" s="42"/>
      <c r="H77" s="42"/>
      <c r="I77" s="42"/>
      <c r="J77" s="42"/>
      <c r="K77" s="42"/>
    </row>
    <row r="78" spans="1:11" ht="15.75">
      <c r="A78" s="42"/>
      <c r="B78" s="42"/>
      <c r="C78" s="42"/>
      <c r="D78" s="42"/>
      <c r="E78" s="42"/>
      <c r="F78" s="42"/>
      <c r="G78" s="42"/>
      <c r="H78" s="42"/>
      <c r="I78" s="42"/>
      <c r="J78" s="42"/>
      <c r="K78" s="42"/>
    </row>
    <row r="79" spans="1:11" ht="15.75">
      <c r="A79" s="42"/>
      <c r="B79" s="42"/>
      <c r="C79" s="42"/>
      <c r="D79" s="42"/>
      <c r="E79" s="42"/>
      <c r="F79" s="42"/>
      <c r="G79" s="42"/>
      <c r="H79" s="42"/>
      <c r="I79" s="42"/>
      <c r="J79" s="42"/>
      <c r="K79" s="42"/>
    </row>
    <row r="80" spans="1:11" ht="15.75">
      <c r="A80" s="42"/>
      <c r="B80" s="42"/>
      <c r="C80" s="42"/>
      <c r="D80" s="42"/>
      <c r="E80" s="42"/>
      <c r="F80" s="42"/>
      <c r="G80" s="42"/>
      <c r="H80" s="42"/>
      <c r="I80" s="42"/>
      <c r="J80" s="42"/>
      <c r="K80" s="42"/>
    </row>
    <row r="81" spans="1:11" ht="15.75">
      <c r="A81" s="42"/>
      <c r="B81" s="42"/>
      <c r="C81" s="42"/>
      <c r="D81" s="42"/>
      <c r="E81" s="42"/>
      <c r="F81" s="42"/>
      <c r="G81" s="42"/>
      <c r="H81" s="42"/>
      <c r="I81" s="42"/>
      <c r="J81" s="42"/>
      <c r="K81" s="42"/>
    </row>
    <row r="82" spans="1:11" ht="15.75">
      <c r="A82" s="42"/>
      <c r="B82" s="42"/>
      <c r="C82" s="42"/>
      <c r="D82" s="42"/>
      <c r="E82" s="42"/>
      <c r="F82" s="42"/>
      <c r="G82" s="42"/>
      <c r="H82" s="42"/>
      <c r="I82" s="42"/>
      <c r="J82" s="42"/>
      <c r="K82" s="42"/>
    </row>
    <row r="83" spans="1:11" ht="15.75">
      <c r="A83" s="42"/>
      <c r="B83" s="42"/>
      <c r="C83" s="42"/>
      <c r="D83" s="42"/>
      <c r="E83" s="42"/>
      <c r="F83" s="42"/>
      <c r="G83" s="42"/>
      <c r="H83" s="42"/>
      <c r="I83" s="42"/>
      <c r="J83" s="42"/>
      <c r="K83" s="42"/>
    </row>
    <row r="84" spans="1:11" ht="15.75">
      <c r="A84" s="42"/>
      <c r="B84" s="42"/>
      <c r="C84" s="42"/>
      <c r="D84" s="42"/>
      <c r="E84" s="42"/>
      <c r="F84" s="42"/>
      <c r="G84" s="42"/>
      <c r="H84" s="42"/>
      <c r="I84" s="42"/>
      <c r="J84" s="42"/>
      <c r="K84" s="42"/>
    </row>
    <row r="85" spans="1:11" ht="15.75">
      <c r="A85" s="42"/>
      <c r="B85" s="42"/>
      <c r="C85" s="42"/>
      <c r="D85" s="42"/>
      <c r="E85" s="42"/>
      <c r="F85" s="42"/>
      <c r="G85" s="42"/>
      <c r="H85" s="42"/>
      <c r="I85" s="42"/>
      <c r="J85" s="42"/>
      <c r="K85" s="42"/>
    </row>
    <row r="86" spans="1:11" ht="15.75">
      <c r="A86" s="42"/>
      <c r="B86" s="42"/>
      <c r="C86" s="42"/>
      <c r="D86" s="42"/>
      <c r="E86" s="42"/>
      <c r="F86" s="42"/>
      <c r="G86" s="42"/>
      <c r="H86" s="42"/>
      <c r="I86" s="42"/>
      <c r="J86" s="42"/>
      <c r="K86" s="42"/>
    </row>
    <row r="87" spans="1:11" ht="15.75">
      <c r="A87" s="42"/>
      <c r="B87" s="42"/>
      <c r="C87" s="42"/>
      <c r="D87" s="42"/>
      <c r="E87" s="42"/>
      <c r="F87" s="42"/>
      <c r="G87" s="42"/>
      <c r="H87" s="42"/>
      <c r="I87" s="42"/>
      <c r="J87" s="42"/>
      <c r="K87" s="42"/>
    </row>
  </sheetData>
  <mergeCells count="94">
    <mergeCell ref="A20:L20"/>
    <mergeCell ref="A17:L17"/>
    <mergeCell ref="D18:F18"/>
    <mergeCell ref="H18:I18"/>
    <mergeCell ref="J18:L19"/>
    <mergeCell ref="A19:C19"/>
    <mergeCell ref="D19:E19"/>
    <mergeCell ref="A10:C10"/>
    <mergeCell ref="E10:L10"/>
    <mergeCell ref="A11:C11"/>
    <mergeCell ref="E11:F11"/>
    <mergeCell ref="H11:J11"/>
    <mergeCell ref="K11:L11"/>
    <mergeCell ref="A7:I7"/>
    <mergeCell ref="J7:L7"/>
    <mergeCell ref="A8:I8"/>
    <mergeCell ref="J8:L8"/>
    <mergeCell ref="C9:H9"/>
    <mergeCell ref="I9:L9"/>
    <mergeCell ref="M11:P11"/>
    <mergeCell ref="A12:D12"/>
    <mergeCell ref="E12:L12"/>
    <mergeCell ref="M12:O12"/>
    <mergeCell ref="A13:C13"/>
    <mergeCell ref="E13:F13"/>
    <mergeCell ref="H13:I13"/>
    <mergeCell ref="J13:L13"/>
    <mergeCell ref="M13:O13"/>
    <mergeCell ref="A14:C14"/>
    <mergeCell ref="E14:F14"/>
    <mergeCell ref="J14:L14"/>
    <mergeCell ref="M14:O14"/>
    <mergeCell ref="D15:F15"/>
    <mergeCell ref="J15:L16"/>
    <mergeCell ref="A16:C16"/>
    <mergeCell ref="D16:E16"/>
    <mergeCell ref="H14:I14"/>
    <mergeCell ref="H15:I15"/>
    <mergeCell ref="D21:F21"/>
    <mergeCell ref="J21:L22"/>
    <mergeCell ref="A22:C22"/>
    <mergeCell ref="D22:E22"/>
    <mergeCell ref="A23:L23"/>
    <mergeCell ref="H21:I21"/>
    <mergeCell ref="D24:F24"/>
    <mergeCell ref="J24:L25"/>
    <mergeCell ref="A25:C25"/>
    <mergeCell ref="D25:E25"/>
    <mergeCell ref="A26:L26"/>
    <mergeCell ref="H24:I24"/>
    <mergeCell ref="D27:F27"/>
    <mergeCell ref="H27:I27"/>
    <mergeCell ref="J27:L28"/>
    <mergeCell ref="A28:C28"/>
    <mergeCell ref="D28:E28"/>
    <mergeCell ref="D30:F30"/>
    <mergeCell ref="H30:I30"/>
    <mergeCell ref="J30:L31"/>
    <mergeCell ref="A31:C31"/>
    <mergeCell ref="D31:E31"/>
    <mergeCell ref="D33:F33"/>
    <mergeCell ref="H33:I33"/>
    <mergeCell ref="J33:L34"/>
    <mergeCell ref="A34:C34"/>
    <mergeCell ref="D34:E34"/>
    <mergeCell ref="D36:F36"/>
    <mergeCell ref="H36:I36"/>
    <mergeCell ref="J36:L37"/>
    <mergeCell ref="A37:C37"/>
    <mergeCell ref="D37:E37"/>
    <mergeCell ref="J42:L43"/>
    <mergeCell ref="A43:C43"/>
    <mergeCell ref="D43:E43"/>
    <mergeCell ref="D39:F39"/>
    <mergeCell ref="H39:I39"/>
    <mergeCell ref="J39:L40"/>
    <mergeCell ref="A40:C40"/>
    <mergeCell ref="D40:E40"/>
    <mergeCell ref="A44:G48"/>
    <mergeCell ref="H44:L48"/>
    <mergeCell ref="A1:F2"/>
    <mergeCell ref="G1:J1"/>
    <mergeCell ref="G2:J2"/>
    <mergeCell ref="K1:L2"/>
    <mergeCell ref="A3:L4"/>
    <mergeCell ref="A5:B5"/>
    <mergeCell ref="C5:D5"/>
    <mergeCell ref="E5:F5"/>
    <mergeCell ref="G5:H5"/>
    <mergeCell ref="I5:J5"/>
    <mergeCell ref="K5:L5"/>
    <mergeCell ref="A6:L6"/>
    <mergeCell ref="D42:F42"/>
    <mergeCell ref="H42:I42"/>
  </mergeCells>
  <hyperlinks>
    <hyperlink ref="K1" location="MENU!A1" tooltip="Volver al Menú" display="◄ MENU" xr:uid="{AEC9AC7F-C97D-472D-94E0-1ADAFA83FBD2}"/>
  </hyperlinks>
  <printOptions horizontalCentered="1"/>
  <pageMargins left="0.7" right="0.7" top="0.75" bottom="0.75" header="0.511811023622047" footer="0.511811023622047"/>
  <pageSetup paperSize="9" scale="62" orientation="landscape"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249977111117893"/>
    <pageSetUpPr fitToPage="1"/>
  </sheetPr>
  <dimension ref="A1:M84"/>
  <sheetViews>
    <sheetView showGridLines="0" zoomScale="86" zoomScaleNormal="86" workbookViewId="0">
      <pane ySplit="6" topLeftCell="A7" activePane="bottomLeft" state="frozen"/>
      <selection pane="bottomLeft" activeCell="A27" sqref="A27:XFD27"/>
    </sheetView>
  </sheetViews>
  <sheetFormatPr baseColWidth="10" defaultColWidth="11.42578125" defaultRowHeight="15"/>
  <cols>
    <col min="1" max="1" width="22.7109375" bestFit="1" customWidth="1"/>
    <col min="2" max="2" width="14.28515625" customWidth="1"/>
    <col min="3" max="3" width="27.7109375" customWidth="1"/>
    <col min="4" max="4" width="21.85546875" customWidth="1"/>
    <col min="5" max="5" width="9.7109375" customWidth="1"/>
    <col min="6" max="6" width="12.7109375" bestFit="1" customWidth="1"/>
    <col min="7" max="7" width="11.7109375" customWidth="1"/>
    <col min="8" max="8" width="12" customWidth="1"/>
    <col min="9" max="9" width="7.7109375" customWidth="1"/>
    <col min="10" max="10" width="5.7109375" customWidth="1"/>
    <col min="11" max="11" width="8.28515625" customWidth="1"/>
    <col min="12" max="12" width="5.7109375" customWidth="1"/>
    <col min="13" max="13" width="19.7109375" bestFit="1" customWidth="1"/>
  </cols>
  <sheetData>
    <row r="1" spans="1:13">
      <c r="A1" s="332" t="s">
        <v>57</v>
      </c>
      <c r="B1" s="332"/>
      <c r="C1" s="332"/>
      <c r="D1" s="332"/>
      <c r="E1" s="332"/>
      <c r="F1" s="332"/>
      <c r="G1" s="333" t="s">
        <v>234</v>
      </c>
      <c r="H1" s="333"/>
      <c r="I1" s="333"/>
      <c r="J1" s="333"/>
      <c r="K1" s="335" t="s">
        <v>228</v>
      </c>
      <c r="L1" s="336"/>
    </row>
    <row r="2" spans="1:13">
      <c r="A2" s="332"/>
      <c r="B2" s="332"/>
      <c r="C2" s="332"/>
      <c r="D2" s="332"/>
      <c r="E2" s="332"/>
      <c r="F2" s="332"/>
      <c r="G2" s="334" t="s">
        <v>227</v>
      </c>
      <c r="H2" s="334"/>
      <c r="I2" s="334"/>
      <c r="J2" s="334"/>
      <c r="K2" s="336"/>
      <c r="L2" s="336"/>
    </row>
    <row r="3" spans="1:13">
      <c r="A3" s="337" t="s">
        <v>235</v>
      </c>
      <c r="B3" s="337"/>
      <c r="C3" s="337"/>
      <c r="D3" s="337"/>
      <c r="E3" s="337"/>
      <c r="F3" s="337"/>
      <c r="G3" s="337"/>
      <c r="H3" s="337"/>
      <c r="I3" s="337"/>
      <c r="J3" s="337"/>
      <c r="K3" s="337"/>
      <c r="L3" s="337"/>
    </row>
    <row r="4" spans="1:13">
      <c r="A4" s="337"/>
      <c r="B4" s="337"/>
      <c r="C4" s="337"/>
      <c r="D4" s="337"/>
      <c r="E4" s="337"/>
      <c r="F4" s="337"/>
      <c r="G4" s="337"/>
      <c r="H4" s="337"/>
      <c r="I4" s="337"/>
      <c r="J4" s="337"/>
      <c r="K4" s="337"/>
      <c r="L4" s="337"/>
    </row>
    <row r="5" spans="1:13">
      <c r="A5" s="338" t="s">
        <v>44</v>
      </c>
      <c r="B5" s="338"/>
      <c r="C5" s="339"/>
      <c r="D5" s="339"/>
      <c r="E5" s="338" t="s">
        <v>230</v>
      </c>
      <c r="F5" s="338"/>
      <c r="G5" s="339"/>
      <c r="H5" s="339"/>
      <c r="I5" s="338" t="s">
        <v>100</v>
      </c>
      <c r="J5" s="338"/>
      <c r="K5" s="339"/>
      <c r="L5" s="339"/>
    </row>
    <row r="6" spans="1:13">
      <c r="A6" s="373"/>
      <c r="B6" s="373"/>
      <c r="C6" s="373"/>
      <c r="D6" s="373"/>
      <c r="E6" s="373"/>
      <c r="F6" s="373"/>
      <c r="G6" s="373"/>
      <c r="H6" s="373"/>
      <c r="I6" s="373"/>
      <c r="J6" s="373"/>
      <c r="K6" s="373"/>
      <c r="L6" s="373"/>
      <c r="M6" s="91" t="s">
        <v>236</v>
      </c>
    </row>
    <row r="7" spans="1:13">
      <c r="A7" s="412" t="s">
        <v>75</v>
      </c>
      <c r="B7" s="412"/>
      <c r="C7" s="412"/>
      <c r="D7" s="412"/>
      <c r="E7" s="414"/>
      <c r="F7" s="414"/>
      <c r="G7" s="414"/>
      <c r="H7" s="414"/>
      <c r="I7" s="414"/>
      <c r="J7" s="412" t="s">
        <v>27</v>
      </c>
      <c r="K7" s="412"/>
      <c r="L7" s="412"/>
      <c r="M7" s="92"/>
    </row>
    <row r="8" spans="1:13" ht="17.25" customHeight="1">
      <c r="A8" s="415" t="s">
        <v>121</v>
      </c>
      <c r="B8" s="416"/>
      <c r="C8" s="416"/>
      <c r="D8" s="416"/>
      <c r="E8" s="416"/>
      <c r="F8" s="416"/>
      <c r="G8" s="93"/>
      <c r="H8" s="93"/>
      <c r="I8" s="93"/>
      <c r="J8" s="412" t="s">
        <v>99</v>
      </c>
      <c r="K8" s="412"/>
      <c r="L8" s="412"/>
      <c r="M8" s="92"/>
    </row>
    <row r="9" spans="1:13">
      <c r="A9" s="93" t="s">
        <v>122</v>
      </c>
      <c r="B9" s="93"/>
      <c r="C9" s="93"/>
      <c r="D9" s="93"/>
      <c r="E9" s="93"/>
      <c r="F9" s="93"/>
      <c r="G9" s="93"/>
      <c r="H9" s="93"/>
      <c r="I9" s="412" t="s">
        <v>79</v>
      </c>
      <c r="J9" s="412"/>
      <c r="K9" s="412"/>
      <c r="L9" s="412"/>
      <c r="M9" s="92"/>
    </row>
    <row r="10" spans="1:13" ht="18.75">
      <c r="A10" s="410" t="s">
        <v>123</v>
      </c>
      <c r="B10" s="410"/>
      <c r="C10" s="410"/>
      <c r="D10" s="413"/>
      <c r="E10" s="413"/>
      <c r="F10" s="390" t="s">
        <v>102</v>
      </c>
      <c r="G10" s="390"/>
      <c r="H10" s="390"/>
      <c r="I10" s="390"/>
      <c r="J10" s="390"/>
      <c r="K10" s="390"/>
      <c r="L10" s="390"/>
      <c r="M10" s="92"/>
    </row>
    <row r="11" spans="1:13" s="43" customFormat="1" ht="21" customHeight="1">
      <c r="A11" s="410" t="s">
        <v>103</v>
      </c>
      <c r="B11" s="410"/>
      <c r="C11" s="410"/>
      <c r="D11" s="409"/>
      <c r="E11" s="409"/>
      <c r="F11" s="95" t="s">
        <v>77</v>
      </c>
      <c r="G11" s="96"/>
      <c r="H11" s="411" t="s">
        <v>78</v>
      </c>
      <c r="I11" s="411"/>
      <c r="J11" s="411"/>
      <c r="K11" s="409"/>
      <c r="L11" s="409"/>
      <c r="M11" s="97"/>
    </row>
    <row r="12" spans="1:13" s="41" customFormat="1" ht="15" customHeight="1">
      <c r="A12" s="386" t="s">
        <v>104</v>
      </c>
      <c r="B12" s="386"/>
      <c r="C12" s="386"/>
      <c r="D12" s="386"/>
      <c r="E12" s="386"/>
      <c r="F12" s="386"/>
      <c r="G12" s="386"/>
      <c r="H12" s="386"/>
      <c r="I12" s="386"/>
      <c r="J12" s="386"/>
      <c r="K12" s="386"/>
      <c r="L12" s="386"/>
      <c r="M12" s="98"/>
    </row>
    <row r="13" spans="1:13" ht="14.65" customHeight="1">
      <c r="A13" s="407" t="s">
        <v>124</v>
      </c>
      <c r="B13" s="407"/>
      <c r="C13" s="407"/>
      <c r="D13" s="407"/>
      <c r="E13" s="408" t="s">
        <v>107</v>
      </c>
      <c r="F13" s="408"/>
      <c r="G13" s="408"/>
      <c r="H13" s="408" t="s">
        <v>125</v>
      </c>
      <c r="I13" s="408"/>
      <c r="J13" s="408"/>
      <c r="K13" s="408"/>
      <c r="L13" s="408"/>
      <c r="M13" s="92"/>
    </row>
    <row r="14" spans="1:13" ht="14.65" customHeight="1">
      <c r="A14" s="407" t="s">
        <v>126</v>
      </c>
      <c r="B14" s="407"/>
      <c r="C14" s="407"/>
      <c r="D14" s="407"/>
      <c r="E14" s="408" t="s">
        <v>127</v>
      </c>
      <c r="F14" s="408"/>
      <c r="G14" s="408"/>
      <c r="H14" s="408" t="s">
        <v>128</v>
      </c>
      <c r="I14" s="408"/>
      <c r="J14" s="408"/>
      <c r="K14" s="408"/>
      <c r="L14" s="408"/>
      <c r="M14" s="92"/>
    </row>
    <row r="15" spans="1:13" ht="15.4" customHeight="1">
      <c r="A15" s="407" t="s">
        <v>129</v>
      </c>
      <c r="B15" s="407"/>
      <c r="C15" s="407"/>
      <c r="D15" s="407"/>
      <c r="E15" s="408" t="s">
        <v>108</v>
      </c>
      <c r="F15" s="408"/>
      <c r="G15" s="408"/>
      <c r="H15" s="408" t="s">
        <v>130</v>
      </c>
      <c r="I15" s="408"/>
      <c r="J15" s="408"/>
      <c r="K15" s="408"/>
      <c r="L15" s="408"/>
      <c r="M15" s="92"/>
    </row>
    <row r="16" spans="1:13" ht="11.25" customHeight="1">
      <c r="A16" s="417"/>
      <c r="B16" s="417"/>
      <c r="C16" s="417"/>
      <c r="D16" s="417"/>
      <c r="E16" s="417"/>
      <c r="F16" s="417"/>
      <c r="G16" s="417"/>
      <c r="H16" s="417"/>
      <c r="I16" s="417"/>
      <c r="J16" s="417"/>
      <c r="K16" s="417"/>
      <c r="L16" s="417"/>
      <c r="M16" s="92"/>
    </row>
    <row r="17" spans="1:13" ht="20.25" customHeight="1">
      <c r="A17" s="398" t="s">
        <v>112</v>
      </c>
      <c r="B17" s="398"/>
      <c r="C17" s="398"/>
      <c r="D17" s="398"/>
      <c r="E17" s="399" t="s">
        <v>131</v>
      </c>
      <c r="F17" s="399"/>
      <c r="G17" s="99"/>
      <c r="H17" s="400" t="s">
        <v>132</v>
      </c>
      <c r="I17" s="400"/>
      <c r="J17" s="385" t="s">
        <v>99</v>
      </c>
      <c r="K17" s="385"/>
      <c r="L17" s="385"/>
      <c r="M17" s="92"/>
    </row>
    <row r="18" spans="1:13" ht="24.75" customHeight="1">
      <c r="A18" s="395" t="s">
        <v>133</v>
      </c>
      <c r="B18" s="395"/>
      <c r="C18" s="395"/>
      <c r="D18" s="395"/>
      <c r="E18" s="395" t="s">
        <v>134</v>
      </c>
      <c r="F18" s="395"/>
      <c r="G18" s="100"/>
      <c r="H18" s="396" t="s">
        <v>135</v>
      </c>
      <c r="I18" s="396"/>
      <c r="J18" s="397"/>
      <c r="K18" s="397"/>
      <c r="L18" s="397"/>
      <c r="M18" s="92"/>
    </row>
    <row r="19" spans="1:13" ht="21" customHeight="1">
      <c r="A19" s="394" t="s">
        <v>136</v>
      </c>
      <c r="B19" s="394"/>
      <c r="C19" s="394"/>
      <c r="D19" s="394"/>
      <c r="E19" s="395" t="s">
        <v>137</v>
      </c>
      <c r="F19" s="395"/>
      <c r="G19" s="100"/>
      <c r="H19" s="396" t="s">
        <v>138</v>
      </c>
      <c r="I19" s="396"/>
      <c r="J19" s="397"/>
      <c r="K19" s="397"/>
      <c r="L19" s="397"/>
      <c r="M19" s="92"/>
    </row>
    <row r="20" spans="1:13" s="44" customFormat="1" ht="26.25" customHeight="1">
      <c r="A20" s="395" t="s">
        <v>139</v>
      </c>
      <c r="B20" s="395"/>
      <c r="C20" s="395"/>
      <c r="D20" s="395"/>
      <c r="E20" s="395" t="s">
        <v>140</v>
      </c>
      <c r="F20" s="395"/>
      <c r="G20" s="100"/>
      <c r="H20" s="395" t="s">
        <v>141</v>
      </c>
      <c r="I20" s="395"/>
      <c r="J20" s="397"/>
      <c r="K20" s="397"/>
      <c r="L20" s="397"/>
      <c r="M20" s="101" t="str">
        <f>IF(AND(J20&lt;&gt;"",J18&lt;&gt;""),J20-J18,"")</f>
        <v/>
      </c>
    </row>
    <row r="21" spans="1:13" s="44" customFormat="1" ht="8.25" customHeight="1">
      <c r="A21" s="406"/>
      <c r="B21" s="406"/>
      <c r="C21" s="406"/>
      <c r="D21" s="406"/>
      <c r="E21" s="406"/>
      <c r="F21" s="406"/>
      <c r="G21" s="406"/>
      <c r="H21" s="406"/>
      <c r="I21" s="406"/>
      <c r="J21" s="406"/>
      <c r="K21" s="406"/>
      <c r="L21" s="406"/>
      <c r="M21" s="101"/>
    </row>
    <row r="22" spans="1:13" ht="32.25" customHeight="1">
      <c r="A22" s="398" t="s">
        <v>112</v>
      </c>
      <c r="B22" s="398"/>
      <c r="C22" s="398"/>
      <c r="D22" s="398"/>
      <c r="E22" s="399" t="s">
        <v>131</v>
      </c>
      <c r="F22" s="399"/>
      <c r="G22" s="99"/>
      <c r="H22" s="400" t="s">
        <v>132</v>
      </c>
      <c r="I22" s="400"/>
      <c r="J22" s="385" t="s">
        <v>99</v>
      </c>
      <c r="K22" s="385"/>
      <c r="L22" s="385"/>
      <c r="M22" s="92"/>
    </row>
    <row r="23" spans="1:13" ht="32.25" customHeight="1">
      <c r="A23" s="401" t="s">
        <v>133</v>
      </c>
      <c r="B23" s="401"/>
      <c r="C23" s="401"/>
      <c r="D23" s="401"/>
      <c r="E23" s="401" t="s">
        <v>134</v>
      </c>
      <c r="F23" s="401"/>
      <c r="G23" s="102"/>
      <c r="H23" s="404" t="s">
        <v>135</v>
      </c>
      <c r="I23" s="404"/>
      <c r="J23" s="402"/>
      <c r="K23" s="402"/>
      <c r="L23" s="402"/>
      <c r="M23" s="92"/>
    </row>
    <row r="24" spans="1:13" ht="32.25" customHeight="1">
      <c r="A24" s="401" t="s">
        <v>136</v>
      </c>
      <c r="B24" s="401"/>
      <c r="C24" s="401"/>
      <c r="D24" s="401"/>
      <c r="E24" s="401" t="s">
        <v>137</v>
      </c>
      <c r="F24" s="401"/>
      <c r="G24" s="102"/>
      <c r="H24" s="404" t="s">
        <v>138</v>
      </c>
      <c r="I24" s="404"/>
      <c r="J24" s="402"/>
      <c r="K24" s="402"/>
      <c r="L24" s="402"/>
      <c r="M24" s="92"/>
    </row>
    <row r="25" spans="1:13" ht="37.5" customHeight="1">
      <c r="A25" s="401" t="s">
        <v>139</v>
      </c>
      <c r="B25" s="401"/>
      <c r="C25" s="401"/>
      <c r="D25" s="401"/>
      <c r="E25" s="401" t="s">
        <v>140</v>
      </c>
      <c r="F25" s="401"/>
      <c r="G25" s="102"/>
      <c r="H25" s="401" t="s">
        <v>141</v>
      </c>
      <c r="I25" s="401"/>
      <c r="J25" s="402"/>
      <c r="K25" s="402"/>
      <c r="L25" s="402"/>
      <c r="M25" s="92" t="str">
        <f>IF(AND(J25&lt;&gt;"",J23&lt;&gt;""),J25-J23,"")</f>
        <v/>
      </c>
    </row>
    <row r="26" spans="1:13" ht="3" customHeight="1">
      <c r="A26" s="403"/>
      <c r="B26" s="403"/>
      <c r="C26" s="403"/>
      <c r="D26" s="403"/>
      <c r="E26" s="403"/>
      <c r="F26" s="403"/>
      <c r="G26" s="403"/>
      <c r="H26" s="403"/>
      <c r="I26" s="403"/>
      <c r="J26" s="403"/>
      <c r="K26" s="403"/>
      <c r="L26" s="403"/>
      <c r="M26" s="92"/>
    </row>
    <row r="27" spans="1:13" ht="32.25" customHeight="1">
      <c r="A27" s="398" t="s">
        <v>112</v>
      </c>
      <c r="B27" s="398"/>
      <c r="C27" s="398"/>
      <c r="D27" s="398"/>
      <c r="E27" s="399" t="s">
        <v>131</v>
      </c>
      <c r="F27" s="399"/>
      <c r="G27" s="99"/>
      <c r="H27" s="400" t="s">
        <v>132</v>
      </c>
      <c r="I27" s="400"/>
      <c r="J27" s="385" t="s">
        <v>99</v>
      </c>
      <c r="K27" s="385"/>
      <c r="L27" s="385"/>
      <c r="M27" s="92"/>
    </row>
    <row r="28" spans="1:13" ht="36" customHeight="1">
      <c r="A28" s="395" t="s">
        <v>133</v>
      </c>
      <c r="B28" s="395"/>
      <c r="C28" s="395"/>
      <c r="D28" s="395"/>
      <c r="E28" s="395" t="s">
        <v>134</v>
      </c>
      <c r="F28" s="395"/>
      <c r="G28" s="100"/>
      <c r="H28" s="396" t="s">
        <v>135</v>
      </c>
      <c r="I28" s="396"/>
      <c r="J28" s="397"/>
      <c r="K28" s="397"/>
      <c r="L28" s="397"/>
      <c r="M28" s="92"/>
    </row>
    <row r="29" spans="1:13" ht="32.25" customHeight="1">
      <c r="A29" s="394" t="s">
        <v>136</v>
      </c>
      <c r="B29" s="394"/>
      <c r="C29" s="394"/>
      <c r="D29" s="394"/>
      <c r="E29" s="395" t="s">
        <v>137</v>
      </c>
      <c r="F29" s="395"/>
      <c r="G29" s="100"/>
      <c r="H29" s="396" t="s">
        <v>138</v>
      </c>
      <c r="I29" s="396"/>
      <c r="J29" s="397"/>
      <c r="K29" s="397"/>
      <c r="L29" s="397"/>
      <c r="M29" s="92"/>
    </row>
    <row r="30" spans="1:13" ht="42.75" customHeight="1">
      <c r="A30" s="395" t="s">
        <v>139</v>
      </c>
      <c r="B30" s="395"/>
      <c r="C30" s="395"/>
      <c r="D30" s="395"/>
      <c r="E30" s="395" t="s">
        <v>140</v>
      </c>
      <c r="F30" s="395"/>
      <c r="G30" s="100"/>
      <c r="H30" s="395" t="s">
        <v>141</v>
      </c>
      <c r="I30" s="395"/>
      <c r="J30" s="397"/>
      <c r="K30" s="397"/>
      <c r="L30" s="397"/>
      <c r="M30" s="92" t="str">
        <f>IF(AND(J30&lt;&gt;"",J28&lt;&gt;""),J30-J28,"")</f>
        <v/>
      </c>
    </row>
    <row r="31" spans="1:13" ht="3" customHeight="1">
      <c r="A31" s="403"/>
      <c r="B31" s="403"/>
      <c r="C31" s="403"/>
      <c r="D31" s="403"/>
      <c r="E31" s="403"/>
      <c r="F31" s="403"/>
      <c r="G31" s="403"/>
      <c r="H31" s="403"/>
      <c r="I31" s="403"/>
      <c r="J31" s="403"/>
      <c r="K31" s="403"/>
      <c r="L31" s="403"/>
      <c r="M31" s="92"/>
    </row>
    <row r="32" spans="1:13" ht="33" customHeight="1">
      <c r="A32" s="398" t="s">
        <v>112</v>
      </c>
      <c r="B32" s="398"/>
      <c r="C32" s="398"/>
      <c r="D32" s="398"/>
      <c r="E32" s="399" t="s">
        <v>142</v>
      </c>
      <c r="F32" s="399"/>
      <c r="G32" s="99"/>
      <c r="H32" s="400" t="s">
        <v>132</v>
      </c>
      <c r="I32" s="400"/>
      <c r="J32" s="385" t="s">
        <v>99</v>
      </c>
      <c r="K32" s="385"/>
      <c r="L32" s="385"/>
      <c r="M32" s="92"/>
    </row>
    <row r="33" spans="1:13" ht="31.5" customHeight="1">
      <c r="A33" s="401" t="s">
        <v>133</v>
      </c>
      <c r="B33" s="401"/>
      <c r="C33" s="401"/>
      <c r="D33" s="401"/>
      <c r="E33" s="401" t="s">
        <v>143</v>
      </c>
      <c r="F33" s="401"/>
      <c r="G33" s="102"/>
      <c r="H33" s="404" t="s">
        <v>135</v>
      </c>
      <c r="I33" s="404"/>
      <c r="J33" s="402"/>
      <c r="K33" s="402"/>
      <c r="L33" s="402"/>
      <c r="M33" s="92"/>
    </row>
    <row r="34" spans="1:13" ht="27.75" customHeight="1">
      <c r="A34" s="405" t="s">
        <v>136</v>
      </c>
      <c r="B34" s="405"/>
      <c r="C34" s="405"/>
      <c r="D34" s="405"/>
      <c r="E34" s="401" t="s">
        <v>144</v>
      </c>
      <c r="F34" s="401"/>
      <c r="G34" s="102"/>
      <c r="H34" s="404" t="s">
        <v>138</v>
      </c>
      <c r="I34" s="404"/>
      <c r="J34" s="402"/>
      <c r="K34" s="402"/>
      <c r="L34" s="402"/>
      <c r="M34" s="92"/>
    </row>
    <row r="35" spans="1:13" ht="30" customHeight="1">
      <c r="A35" s="401" t="s">
        <v>139</v>
      </c>
      <c r="B35" s="401"/>
      <c r="C35" s="401"/>
      <c r="D35" s="401"/>
      <c r="E35" s="401" t="s">
        <v>145</v>
      </c>
      <c r="F35" s="401"/>
      <c r="G35" s="102"/>
      <c r="H35" s="401" t="s">
        <v>141</v>
      </c>
      <c r="I35" s="401"/>
      <c r="J35" s="402"/>
      <c r="K35" s="402"/>
      <c r="L35" s="402"/>
      <c r="M35" s="92" t="str">
        <f>IF(AND(J35&lt;&gt;"",J33&lt;&gt;""),J35-J33,"")</f>
        <v/>
      </c>
    </row>
    <row r="36" spans="1:13" ht="3" customHeight="1">
      <c r="A36" s="403"/>
      <c r="B36" s="403"/>
      <c r="C36" s="403"/>
      <c r="D36" s="403"/>
      <c r="E36" s="403"/>
      <c r="F36" s="403"/>
      <c r="G36" s="403"/>
      <c r="H36" s="403"/>
      <c r="I36" s="403"/>
      <c r="J36" s="403"/>
      <c r="K36" s="403"/>
      <c r="L36" s="403"/>
      <c r="M36" s="92"/>
    </row>
    <row r="37" spans="1:13" ht="30.75" customHeight="1">
      <c r="A37" s="398" t="s">
        <v>112</v>
      </c>
      <c r="B37" s="398"/>
      <c r="C37" s="398"/>
      <c r="D37" s="398"/>
      <c r="E37" s="399" t="s">
        <v>131</v>
      </c>
      <c r="F37" s="399"/>
      <c r="G37" s="99"/>
      <c r="H37" s="400" t="s">
        <v>132</v>
      </c>
      <c r="I37" s="400"/>
      <c r="J37" s="385" t="s">
        <v>99</v>
      </c>
      <c r="K37" s="385"/>
      <c r="L37" s="385"/>
      <c r="M37" s="92"/>
    </row>
    <row r="38" spans="1:13" ht="33.75" customHeight="1">
      <c r="A38" s="395" t="s">
        <v>133</v>
      </c>
      <c r="B38" s="395"/>
      <c r="C38" s="395"/>
      <c r="D38" s="395"/>
      <c r="E38" s="395" t="s">
        <v>134</v>
      </c>
      <c r="F38" s="395"/>
      <c r="G38" s="100"/>
      <c r="H38" s="396" t="s">
        <v>135</v>
      </c>
      <c r="I38" s="396"/>
      <c r="J38" s="397"/>
      <c r="K38" s="397"/>
      <c r="L38" s="397"/>
      <c r="M38" s="92"/>
    </row>
    <row r="39" spans="1:13" ht="27.75" customHeight="1">
      <c r="A39" s="394" t="s">
        <v>136</v>
      </c>
      <c r="B39" s="394"/>
      <c r="C39" s="394"/>
      <c r="D39" s="394"/>
      <c r="E39" s="395" t="s">
        <v>137</v>
      </c>
      <c r="F39" s="395"/>
      <c r="G39" s="100"/>
      <c r="H39" s="396" t="s">
        <v>138</v>
      </c>
      <c r="I39" s="396"/>
      <c r="J39" s="397"/>
      <c r="K39" s="397"/>
      <c r="L39" s="397"/>
      <c r="M39" s="92"/>
    </row>
    <row r="40" spans="1:13" ht="35.25" customHeight="1">
      <c r="A40" s="395" t="s">
        <v>139</v>
      </c>
      <c r="B40" s="395"/>
      <c r="C40" s="395"/>
      <c r="D40" s="395"/>
      <c r="E40" s="395" t="s">
        <v>140</v>
      </c>
      <c r="F40" s="395"/>
      <c r="G40" s="100"/>
      <c r="H40" s="395" t="s">
        <v>141</v>
      </c>
      <c r="I40" s="395"/>
      <c r="J40" s="397"/>
      <c r="K40" s="397"/>
      <c r="L40" s="397"/>
      <c r="M40" s="92" t="str">
        <f>IF(AND(J40&lt;&gt;"",J38&lt;&gt;""),J40-J38,"")</f>
        <v/>
      </c>
    </row>
    <row r="41" spans="1:13" ht="15.75" customHeight="1">
      <c r="A41" s="369" t="s">
        <v>146</v>
      </c>
      <c r="B41" s="370"/>
      <c r="C41" s="370"/>
      <c r="D41" s="370"/>
      <c r="E41" s="370"/>
      <c r="F41" s="370"/>
      <c r="G41" s="370"/>
      <c r="H41" s="371" t="s">
        <v>147</v>
      </c>
      <c r="I41" s="371"/>
      <c r="J41" s="371"/>
      <c r="K41" s="371"/>
      <c r="L41" s="371"/>
      <c r="M41" s="92"/>
    </row>
    <row r="42" spans="1:13" ht="15.75" customHeight="1">
      <c r="A42" s="370"/>
      <c r="B42" s="370"/>
      <c r="C42" s="370"/>
      <c r="D42" s="370"/>
      <c r="E42" s="370"/>
      <c r="F42" s="370"/>
      <c r="G42" s="370"/>
      <c r="H42" s="371"/>
      <c r="I42" s="371"/>
      <c r="J42" s="371"/>
      <c r="K42" s="371"/>
      <c r="L42" s="371"/>
      <c r="M42" s="92"/>
    </row>
    <row r="43" spans="1:13" ht="9.6" customHeight="1">
      <c r="A43" s="370"/>
      <c r="B43" s="370"/>
      <c r="C43" s="370"/>
      <c r="D43" s="370"/>
      <c r="E43" s="370"/>
      <c r="F43" s="370"/>
      <c r="G43" s="370"/>
      <c r="H43" s="371"/>
      <c r="I43" s="371"/>
      <c r="J43" s="371"/>
      <c r="K43" s="371"/>
      <c r="L43" s="371"/>
      <c r="M43" s="92"/>
    </row>
    <row r="44" spans="1:13" ht="12.6" customHeight="1">
      <c r="A44" s="370"/>
      <c r="B44" s="370"/>
      <c r="C44" s="370"/>
      <c r="D44" s="370"/>
      <c r="E44" s="370"/>
      <c r="F44" s="370"/>
      <c r="G44" s="370"/>
      <c r="H44" s="371"/>
      <c r="I44" s="371"/>
      <c r="J44" s="371"/>
      <c r="K44" s="371"/>
      <c r="L44" s="371"/>
      <c r="M44" s="92"/>
    </row>
    <row r="45" spans="1:13" ht="22.5" customHeight="1">
      <c r="A45" s="370"/>
      <c r="B45" s="370"/>
      <c r="C45" s="370"/>
      <c r="D45" s="370"/>
      <c r="E45" s="370"/>
      <c r="F45" s="370"/>
      <c r="G45" s="370"/>
      <c r="H45" s="371"/>
      <c r="I45" s="371"/>
      <c r="J45" s="371"/>
      <c r="K45" s="371"/>
      <c r="L45" s="371"/>
      <c r="M45" s="92"/>
    </row>
    <row r="46" spans="1:13" ht="15.75">
      <c r="A46" s="42"/>
      <c r="B46" s="42"/>
      <c r="C46" s="42"/>
      <c r="D46" s="42"/>
      <c r="E46" s="42"/>
      <c r="F46" s="42"/>
      <c r="G46" s="42"/>
      <c r="H46" s="42"/>
      <c r="I46" s="42"/>
      <c r="J46" s="42"/>
      <c r="K46" s="42"/>
    </row>
    <row r="47" spans="1:13" ht="15.75">
      <c r="A47" s="42"/>
      <c r="B47" s="42"/>
      <c r="C47" s="42"/>
      <c r="D47" s="42"/>
      <c r="E47" s="42"/>
      <c r="F47" s="42"/>
      <c r="G47" s="42"/>
      <c r="H47" s="42"/>
      <c r="I47" s="42"/>
      <c r="J47" s="42"/>
      <c r="K47" s="42"/>
    </row>
    <row r="48" spans="1:13" ht="15.75">
      <c r="A48" s="42"/>
      <c r="B48" s="42"/>
      <c r="C48" s="42"/>
      <c r="D48" s="42"/>
      <c r="E48" s="42"/>
      <c r="F48" s="42"/>
      <c r="G48" s="42"/>
      <c r="H48" s="42"/>
      <c r="I48" s="42"/>
      <c r="J48" s="42"/>
      <c r="K48" s="42"/>
    </row>
    <row r="49" spans="1:11" ht="15.75">
      <c r="A49" s="42"/>
      <c r="B49" s="42"/>
      <c r="C49" s="42"/>
      <c r="D49" s="42"/>
      <c r="E49" s="42"/>
      <c r="F49" s="42"/>
      <c r="G49" s="42"/>
      <c r="H49" s="42"/>
      <c r="I49" s="42"/>
      <c r="J49" s="42"/>
      <c r="K49" s="42"/>
    </row>
    <row r="50" spans="1:11" ht="15.75">
      <c r="A50" s="42"/>
      <c r="B50" s="42"/>
      <c r="C50" s="42"/>
      <c r="D50" s="42"/>
      <c r="E50" s="42"/>
      <c r="F50" s="42"/>
      <c r="G50" s="42"/>
      <c r="H50" s="42"/>
      <c r="I50" s="42"/>
      <c r="J50" s="42"/>
      <c r="K50" s="42"/>
    </row>
    <row r="51" spans="1:11" ht="15.75">
      <c r="A51" s="42"/>
      <c r="B51" s="42"/>
      <c r="C51" s="42"/>
      <c r="D51" s="42"/>
      <c r="E51" s="42"/>
      <c r="F51" s="42"/>
      <c r="G51" s="42"/>
      <c r="H51" s="42"/>
      <c r="I51" s="42"/>
      <c r="J51" s="42"/>
      <c r="K51" s="42"/>
    </row>
    <row r="52" spans="1:11" ht="15.75">
      <c r="A52" s="42"/>
      <c r="B52" s="42"/>
      <c r="C52" s="42"/>
      <c r="D52" s="42"/>
      <c r="E52" s="42"/>
      <c r="F52" s="42"/>
      <c r="G52" s="42"/>
      <c r="H52" s="42"/>
      <c r="I52" s="42"/>
      <c r="J52" s="42"/>
      <c r="K52" s="42"/>
    </row>
    <row r="53" spans="1:11" ht="15.75">
      <c r="A53" s="42"/>
      <c r="B53" s="42"/>
      <c r="C53" s="42"/>
      <c r="D53" s="42"/>
      <c r="E53" s="42"/>
      <c r="F53" s="42"/>
      <c r="G53" s="42"/>
      <c r="H53" s="42"/>
      <c r="I53" s="42"/>
      <c r="J53" s="42"/>
      <c r="K53" s="42"/>
    </row>
    <row r="54" spans="1:11" ht="15.75">
      <c r="A54" s="42"/>
      <c r="B54" s="42"/>
      <c r="C54" s="42"/>
      <c r="D54" s="42"/>
      <c r="E54" s="42"/>
      <c r="F54" s="42"/>
      <c r="G54" s="42"/>
      <c r="H54" s="42"/>
      <c r="I54" s="42"/>
      <c r="J54" s="42"/>
      <c r="K54" s="42"/>
    </row>
    <row r="55" spans="1:11" ht="15.75">
      <c r="A55" s="42"/>
      <c r="B55" s="42"/>
      <c r="C55" s="42"/>
      <c r="D55" s="42"/>
      <c r="E55" s="42"/>
      <c r="F55" s="42"/>
      <c r="G55" s="42"/>
      <c r="H55" s="42"/>
      <c r="I55" s="42"/>
      <c r="J55" s="42"/>
      <c r="K55" s="42"/>
    </row>
    <row r="56" spans="1:11" ht="15.75">
      <c r="A56" s="42"/>
      <c r="B56" s="42"/>
      <c r="C56" s="42"/>
      <c r="D56" s="42"/>
      <c r="E56" s="42"/>
      <c r="F56" s="42"/>
      <c r="G56" s="42"/>
      <c r="H56" s="42"/>
      <c r="I56" s="42"/>
      <c r="J56" s="42"/>
      <c r="K56" s="42"/>
    </row>
    <row r="57" spans="1:11" ht="15.75">
      <c r="A57" s="42"/>
      <c r="B57" s="42"/>
      <c r="C57" s="42"/>
      <c r="D57" s="42"/>
      <c r="E57" s="42"/>
      <c r="F57" s="42"/>
      <c r="G57" s="42"/>
      <c r="H57" s="42"/>
      <c r="I57" s="42"/>
      <c r="J57" s="42"/>
      <c r="K57" s="42"/>
    </row>
    <row r="58" spans="1:11" ht="15.75">
      <c r="A58" s="42"/>
      <c r="B58" s="42"/>
      <c r="C58" s="42"/>
      <c r="D58" s="42"/>
      <c r="E58" s="42"/>
      <c r="F58" s="42"/>
      <c r="G58" s="42"/>
      <c r="H58" s="42"/>
      <c r="I58" s="42"/>
      <c r="J58" s="42"/>
      <c r="K58" s="42"/>
    </row>
    <row r="59" spans="1:11" ht="15.75">
      <c r="A59" s="42"/>
      <c r="B59" s="42"/>
      <c r="C59" s="42"/>
      <c r="D59" s="42"/>
      <c r="E59" s="42"/>
      <c r="F59" s="42"/>
      <c r="G59" s="42"/>
      <c r="H59" s="42"/>
      <c r="I59" s="42"/>
      <c r="J59" s="42"/>
      <c r="K59" s="42"/>
    </row>
    <row r="60" spans="1:11" ht="15.75">
      <c r="A60" s="42"/>
      <c r="B60" s="42"/>
      <c r="C60" s="42"/>
      <c r="D60" s="42"/>
      <c r="E60" s="42"/>
      <c r="F60" s="42"/>
      <c r="G60" s="42"/>
      <c r="H60" s="42"/>
      <c r="I60" s="42"/>
      <c r="J60" s="42"/>
      <c r="K60" s="42"/>
    </row>
    <row r="61" spans="1:11" ht="15.75">
      <c r="A61" s="42"/>
      <c r="B61" s="42"/>
      <c r="C61" s="42"/>
      <c r="D61" s="42"/>
      <c r="E61" s="42"/>
      <c r="F61" s="42"/>
      <c r="G61" s="42"/>
      <c r="H61" s="42"/>
      <c r="I61" s="42"/>
      <c r="J61" s="42"/>
      <c r="K61" s="42"/>
    </row>
    <row r="62" spans="1:11" ht="15.75">
      <c r="A62" s="42"/>
      <c r="B62" s="42"/>
      <c r="C62" s="42"/>
      <c r="D62" s="42"/>
      <c r="E62" s="42"/>
      <c r="F62" s="42"/>
      <c r="G62" s="42"/>
      <c r="H62" s="42"/>
      <c r="I62" s="42"/>
      <c r="J62" s="42"/>
      <c r="K62" s="42"/>
    </row>
    <row r="63" spans="1:11" ht="15.75">
      <c r="A63" s="42"/>
      <c r="B63" s="42"/>
      <c r="C63" s="42"/>
      <c r="D63" s="42"/>
      <c r="E63" s="42"/>
      <c r="F63" s="42"/>
      <c r="G63" s="42"/>
      <c r="H63" s="42"/>
      <c r="I63" s="42"/>
      <c r="J63" s="42"/>
      <c r="K63" s="42"/>
    </row>
    <row r="64" spans="1:11" ht="15.75">
      <c r="A64" s="42"/>
      <c r="B64" s="42"/>
      <c r="C64" s="42"/>
      <c r="D64" s="42"/>
      <c r="E64" s="42"/>
      <c r="F64" s="42"/>
      <c r="G64" s="42"/>
      <c r="H64" s="42"/>
      <c r="I64" s="42"/>
      <c r="J64" s="42"/>
      <c r="K64" s="42"/>
    </row>
    <row r="65" spans="1:11" ht="15.75">
      <c r="A65" s="42"/>
      <c r="B65" s="42"/>
      <c r="C65" s="42"/>
      <c r="D65" s="42"/>
      <c r="E65" s="42"/>
      <c r="F65" s="42"/>
      <c r="G65" s="42"/>
      <c r="H65" s="42"/>
      <c r="I65" s="42"/>
      <c r="J65" s="42"/>
      <c r="K65" s="42"/>
    </row>
    <row r="66" spans="1:11" ht="15.75">
      <c r="A66" s="42"/>
      <c r="B66" s="42"/>
      <c r="C66" s="42"/>
      <c r="D66" s="42"/>
      <c r="E66" s="42"/>
      <c r="F66" s="42"/>
      <c r="G66" s="42"/>
      <c r="H66" s="42"/>
      <c r="I66" s="42"/>
      <c r="J66" s="42"/>
      <c r="K66" s="42"/>
    </row>
    <row r="67" spans="1:11" ht="15.75">
      <c r="A67" s="42"/>
      <c r="B67" s="42"/>
      <c r="C67" s="42"/>
      <c r="D67" s="42"/>
      <c r="E67" s="42"/>
      <c r="F67" s="42"/>
      <c r="G67" s="42"/>
      <c r="H67" s="42"/>
      <c r="I67" s="42"/>
      <c r="J67" s="42"/>
      <c r="K67" s="42"/>
    </row>
    <row r="68" spans="1:11" ht="15.75">
      <c r="A68" s="42"/>
      <c r="B68" s="42"/>
      <c r="C68" s="42"/>
      <c r="D68" s="42"/>
      <c r="E68" s="42"/>
      <c r="F68" s="42"/>
      <c r="G68" s="42"/>
      <c r="H68" s="42"/>
      <c r="I68" s="42"/>
      <c r="J68" s="42"/>
      <c r="K68" s="42"/>
    </row>
    <row r="69" spans="1:11" ht="15.75">
      <c r="A69" s="42"/>
      <c r="B69" s="42"/>
      <c r="C69" s="42"/>
      <c r="D69" s="42"/>
      <c r="E69" s="42"/>
      <c r="F69" s="42"/>
      <c r="G69" s="42"/>
      <c r="H69" s="42"/>
      <c r="I69" s="42"/>
      <c r="J69" s="42"/>
      <c r="K69" s="42"/>
    </row>
    <row r="70" spans="1:11" ht="15.75">
      <c r="A70" s="42"/>
      <c r="B70" s="42"/>
      <c r="C70" s="42"/>
      <c r="D70" s="42"/>
      <c r="E70" s="42"/>
      <c r="F70" s="42"/>
      <c r="G70" s="42"/>
      <c r="H70" s="42"/>
      <c r="I70" s="42"/>
      <c r="J70" s="42"/>
      <c r="K70" s="42"/>
    </row>
    <row r="71" spans="1:11" ht="15.75">
      <c r="A71" s="42"/>
      <c r="B71" s="42"/>
      <c r="C71" s="42"/>
      <c r="D71" s="42"/>
      <c r="E71" s="42"/>
      <c r="F71" s="42"/>
      <c r="G71" s="42"/>
      <c r="H71" s="42"/>
      <c r="I71" s="42"/>
      <c r="J71" s="42"/>
      <c r="K71" s="42"/>
    </row>
    <row r="72" spans="1:11" ht="15.75">
      <c r="A72" s="42"/>
      <c r="B72" s="42"/>
      <c r="C72" s="42"/>
      <c r="D72" s="42"/>
      <c r="E72" s="42"/>
      <c r="F72" s="42"/>
      <c r="G72" s="42"/>
      <c r="H72" s="42"/>
      <c r="I72" s="42"/>
      <c r="J72" s="42"/>
      <c r="K72" s="42"/>
    </row>
    <row r="73" spans="1:11" ht="15.75">
      <c r="A73" s="42"/>
      <c r="B73" s="42"/>
      <c r="C73" s="42"/>
      <c r="D73" s="42"/>
      <c r="E73" s="42"/>
      <c r="F73" s="42"/>
      <c r="G73" s="42"/>
      <c r="H73" s="42"/>
      <c r="I73" s="42"/>
      <c r="J73" s="42"/>
      <c r="K73" s="42"/>
    </row>
    <row r="74" spans="1:11" ht="15.75">
      <c r="A74" s="42"/>
      <c r="B74" s="42"/>
      <c r="C74" s="42"/>
      <c r="D74" s="42"/>
      <c r="E74" s="42"/>
      <c r="F74" s="42"/>
      <c r="G74" s="42"/>
      <c r="H74" s="42"/>
      <c r="I74" s="42"/>
      <c r="J74" s="42"/>
      <c r="K74" s="42"/>
    </row>
    <row r="75" spans="1:11" ht="15.75">
      <c r="A75" s="42"/>
      <c r="B75" s="42"/>
      <c r="C75" s="42"/>
      <c r="D75" s="42"/>
      <c r="E75" s="42"/>
      <c r="F75" s="42"/>
      <c r="G75" s="42"/>
      <c r="H75" s="42"/>
      <c r="I75" s="42"/>
      <c r="J75" s="42"/>
      <c r="K75" s="42"/>
    </row>
    <row r="76" spans="1:11" ht="15.75">
      <c r="A76" s="42"/>
      <c r="B76" s="42"/>
      <c r="C76" s="42"/>
      <c r="D76" s="42"/>
      <c r="E76" s="42"/>
      <c r="F76" s="42"/>
      <c r="G76" s="42"/>
      <c r="H76" s="42"/>
      <c r="I76" s="42"/>
      <c r="J76" s="42"/>
      <c r="K76" s="42"/>
    </row>
    <row r="77" spans="1:11" ht="15.75">
      <c r="A77" s="42"/>
      <c r="B77" s="42"/>
      <c r="C77" s="42"/>
      <c r="D77" s="42"/>
      <c r="E77" s="42"/>
      <c r="F77" s="42"/>
      <c r="G77" s="42"/>
      <c r="H77" s="42"/>
      <c r="I77" s="42"/>
      <c r="J77" s="42"/>
      <c r="K77" s="42"/>
    </row>
    <row r="78" spans="1:11" ht="15.75">
      <c r="A78" s="42"/>
      <c r="B78" s="42"/>
      <c r="C78" s="42"/>
      <c r="D78" s="42"/>
      <c r="E78" s="42"/>
      <c r="F78" s="42"/>
      <c r="G78" s="42"/>
      <c r="H78" s="42"/>
      <c r="I78" s="42"/>
      <c r="J78" s="42"/>
      <c r="K78" s="42"/>
    </row>
    <row r="79" spans="1:11" ht="15.75">
      <c r="A79" s="42"/>
      <c r="B79" s="42"/>
      <c r="C79" s="42"/>
      <c r="D79" s="42"/>
      <c r="E79" s="42"/>
      <c r="F79" s="42"/>
      <c r="G79" s="42"/>
      <c r="H79" s="42"/>
      <c r="I79" s="42"/>
      <c r="J79" s="42"/>
      <c r="K79" s="42"/>
    </row>
    <row r="80" spans="1:11" ht="15.75">
      <c r="A80" s="42"/>
      <c r="B80" s="42"/>
      <c r="C80" s="42"/>
      <c r="D80" s="42"/>
      <c r="E80" s="42"/>
      <c r="F80" s="42"/>
      <c r="G80" s="42"/>
      <c r="H80" s="42"/>
      <c r="I80" s="42"/>
      <c r="J80" s="42"/>
      <c r="K80" s="42"/>
    </row>
    <row r="81" spans="1:11" ht="15.75">
      <c r="A81" s="42"/>
      <c r="B81" s="42"/>
      <c r="C81" s="42"/>
      <c r="D81" s="42"/>
      <c r="E81" s="42"/>
      <c r="F81" s="42"/>
      <c r="G81" s="42"/>
      <c r="H81" s="42"/>
      <c r="I81" s="42"/>
      <c r="J81" s="42"/>
      <c r="K81" s="42"/>
    </row>
    <row r="82" spans="1:11" ht="15.75">
      <c r="A82" s="42"/>
      <c r="B82" s="42"/>
      <c r="C82" s="42"/>
      <c r="D82" s="42"/>
      <c r="E82" s="42"/>
      <c r="F82" s="42"/>
      <c r="G82" s="42"/>
      <c r="H82" s="42"/>
      <c r="I82" s="42"/>
      <c r="J82" s="42"/>
      <c r="K82" s="42"/>
    </row>
    <row r="83" spans="1:11" ht="15.75">
      <c r="A83" s="42"/>
      <c r="B83" s="42"/>
      <c r="C83" s="42"/>
      <c r="D83" s="42"/>
      <c r="E83" s="42"/>
      <c r="F83" s="42"/>
      <c r="G83" s="42"/>
      <c r="H83" s="42"/>
      <c r="I83" s="42"/>
      <c r="J83" s="42"/>
      <c r="K83" s="42"/>
    </row>
    <row r="84" spans="1:11" ht="15.75">
      <c r="A84" s="42"/>
      <c r="B84" s="42"/>
      <c r="C84" s="42"/>
      <c r="D84" s="42"/>
      <c r="E84" s="42"/>
      <c r="F84" s="42"/>
      <c r="G84" s="42"/>
      <c r="H84" s="42"/>
      <c r="I84" s="42"/>
      <c r="J84" s="42"/>
      <c r="K84" s="42"/>
    </row>
  </sheetData>
  <mergeCells count="122">
    <mergeCell ref="A16:L16"/>
    <mergeCell ref="A17:D17"/>
    <mergeCell ref="E17:F17"/>
    <mergeCell ref="H17:I17"/>
    <mergeCell ref="J17:L17"/>
    <mergeCell ref="A18:D18"/>
    <mergeCell ref="E18:F18"/>
    <mergeCell ref="H18:I18"/>
    <mergeCell ref="A20:D20"/>
    <mergeCell ref="E20:F20"/>
    <mergeCell ref="H20:I20"/>
    <mergeCell ref="J20:L20"/>
    <mergeCell ref="J8:L8"/>
    <mergeCell ref="I9:L9"/>
    <mergeCell ref="A10:C10"/>
    <mergeCell ref="D10:E10"/>
    <mergeCell ref="F10:L10"/>
    <mergeCell ref="A7:D7"/>
    <mergeCell ref="E7:I7"/>
    <mergeCell ref="J7:L7"/>
    <mergeCell ref="A8:F8"/>
    <mergeCell ref="A14:D14"/>
    <mergeCell ref="E14:G14"/>
    <mergeCell ref="H14:L14"/>
    <mergeCell ref="A15:D15"/>
    <mergeCell ref="E15:G15"/>
    <mergeCell ref="H15:L15"/>
    <mergeCell ref="K11:L11"/>
    <mergeCell ref="A12:L12"/>
    <mergeCell ref="A13:D13"/>
    <mergeCell ref="E13:G13"/>
    <mergeCell ref="H13:L13"/>
    <mergeCell ref="A11:C11"/>
    <mergeCell ref="D11:E11"/>
    <mergeCell ref="H11:J11"/>
    <mergeCell ref="A21:L21"/>
    <mergeCell ref="A22:D22"/>
    <mergeCell ref="E22:F22"/>
    <mergeCell ref="H22:I22"/>
    <mergeCell ref="J22:L22"/>
    <mergeCell ref="J18:L18"/>
    <mergeCell ref="A19:D19"/>
    <mergeCell ref="E19:F19"/>
    <mergeCell ref="H19:I19"/>
    <mergeCell ref="J19:L19"/>
    <mergeCell ref="A25:D25"/>
    <mergeCell ref="E25:F25"/>
    <mergeCell ref="H25:I25"/>
    <mergeCell ref="J25:L25"/>
    <mergeCell ref="A26:L26"/>
    <mergeCell ref="J23:L23"/>
    <mergeCell ref="A24:D24"/>
    <mergeCell ref="E24:F24"/>
    <mergeCell ref="H24:I24"/>
    <mergeCell ref="J24:L24"/>
    <mergeCell ref="A23:D23"/>
    <mergeCell ref="E23:F23"/>
    <mergeCell ref="H23:I23"/>
    <mergeCell ref="A29:D29"/>
    <mergeCell ref="E29:F29"/>
    <mergeCell ref="H29:I29"/>
    <mergeCell ref="J29:L29"/>
    <mergeCell ref="A30:D30"/>
    <mergeCell ref="E30:F30"/>
    <mergeCell ref="H30:I30"/>
    <mergeCell ref="J30:L30"/>
    <mergeCell ref="A27:D27"/>
    <mergeCell ref="E27:F27"/>
    <mergeCell ref="H27:I27"/>
    <mergeCell ref="J27:L27"/>
    <mergeCell ref="A28:D28"/>
    <mergeCell ref="E28:F28"/>
    <mergeCell ref="H28:I28"/>
    <mergeCell ref="J28:L28"/>
    <mergeCell ref="A33:D33"/>
    <mergeCell ref="E33:F33"/>
    <mergeCell ref="H33:I33"/>
    <mergeCell ref="J33:L33"/>
    <mergeCell ref="A34:D34"/>
    <mergeCell ref="E34:F34"/>
    <mergeCell ref="H34:I34"/>
    <mergeCell ref="J34:L34"/>
    <mergeCell ref="A31:L31"/>
    <mergeCell ref="A32:D32"/>
    <mergeCell ref="E32:F32"/>
    <mergeCell ref="H32:I32"/>
    <mergeCell ref="J32:L32"/>
    <mergeCell ref="H37:I37"/>
    <mergeCell ref="J37:L37"/>
    <mergeCell ref="A38:D38"/>
    <mergeCell ref="E38:F38"/>
    <mergeCell ref="H38:I38"/>
    <mergeCell ref="J38:L38"/>
    <mergeCell ref="A35:D35"/>
    <mergeCell ref="E35:F35"/>
    <mergeCell ref="H35:I35"/>
    <mergeCell ref="J35:L35"/>
    <mergeCell ref="A36:L36"/>
    <mergeCell ref="A41:G45"/>
    <mergeCell ref="H41:L45"/>
    <mergeCell ref="A1:F2"/>
    <mergeCell ref="G1:J1"/>
    <mergeCell ref="G2:J2"/>
    <mergeCell ref="K1:L2"/>
    <mergeCell ref="A3:L4"/>
    <mergeCell ref="A5:B5"/>
    <mergeCell ref="C5:D5"/>
    <mergeCell ref="E5:F5"/>
    <mergeCell ref="G5:H5"/>
    <mergeCell ref="I5:J5"/>
    <mergeCell ref="K5:L5"/>
    <mergeCell ref="A6:L6"/>
    <mergeCell ref="A39:D39"/>
    <mergeCell ref="E39:F39"/>
    <mergeCell ref="H39:I39"/>
    <mergeCell ref="J39:L39"/>
    <mergeCell ref="A40:D40"/>
    <mergeCell ref="E40:F40"/>
    <mergeCell ref="H40:I40"/>
    <mergeCell ref="J40:L40"/>
    <mergeCell ref="A37:D37"/>
    <mergeCell ref="E37:F37"/>
  </mergeCells>
  <hyperlinks>
    <hyperlink ref="K1" location="MENU!A1" tooltip="Volver al Menú" display="◄ MENU" xr:uid="{ACB3D6DF-645E-47A2-ACC2-C575FDF37F1B}"/>
  </hyperlinks>
  <printOptions horizontalCentered="1"/>
  <pageMargins left="0.7" right="0.7" top="0.75" bottom="0.75" header="0.511811023622047" footer="0.511811023622047"/>
  <pageSetup paperSize="9" scale="54"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55A11"/>
    <pageSetUpPr fitToPage="1"/>
  </sheetPr>
  <dimension ref="A1:M68"/>
  <sheetViews>
    <sheetView zoomScale="88" zoomScaleNormal="88" workbookViewId="0">
      <pane ySplit="7" topLeftCell="A8" activePane="bottomLeft" state="frozen"/>
      <selection pane="bottomLeft" activeCell="L13" sqref="L13"/>
    </sheetView>
  </sheetViews>
  <sheetFormatPr baseColWidth="10" defaultColWidth="11.42578125" defaultRowHeight="15"/>
  <cols>
    <col min="1" max="1" width="13" customWidth="1"/>
    <col min="2" max="3" width="10.7109375" customWidth="1"/>
    <col min="4" max="4" width="14" customWidth="1"/>
    <col min="5" max="5" width="8" bestFit="1" customWidth="1"/>
    <col min="6" max="6" width="7.5703125" bestFit="1" customWidth="1"/>
    <col min="7" max="7" width="10" customWidth="1"/>
    <col min="8" max="9" width="10.42578125" customWidth="1"/>
    <col min="10" max="10" width="11.7109375" customWidth="1"/>
    <col min="11" max="13" width="9.85546875" customWidth="1"/>
  </cols>
  <sheetData>
    <row r="1" spans="1:13">
      <c r="A1" s="445" t="s">
        <v>237</v>
      </c>
      <c r="B1" s="445"/>
      <c r="C1" s="445"/>
      <c r="D1" s="445"/>
      <c r="E1" s="445"/>
      <c r="F1" s="445"/>
      <c r="G1" s="446" t="s">
        <v>238</v>
      </c>
      <c r="H1" s="446"/>
      <c r="I1" s="446"/>
      <c r="J1" s="446"/>
      <c r="K1" s="447" t="s">
        <v>228</v>
      </c>
      <c r="L1" s="335"/>
      <c r="M1" s="335"/>
    </row>
    <row r="2" spans="1:13">
      <c r="A2" s="445"/>
      <c r="B2" s="445"/>
      <c r="C2" s="445"/>
      <c r="D2" s="445"/>
      <c r="E2" s="445"/>
      <c r="F2" s="445"/>
      <c r="G2" s="446" t="s">
        <v>239</v>
      </c>
      <c r="H2" s="446"/>
      <c r="I2" s="446"/>
      <c r="J2" s="446"/>
      <c r="K2" s="447"/>
      <c r="L2" s="335"/>
      <c r="M2" s="335"/>
    </row>
    <row r="3" spans="1:13">
      <c r="A3" s="448" t="s">
        <v>240</v>
      </c>
      <c r="B3" s="448"/>
      <c r="C3" s="448"/>
      <c r="D3" s="448"/>
      <c r="E3" s="448"/>
      <c r="F3" s="448"/>
      <c r="G3" s="448"/>
      <c r="H3" s="448"/>
      <c r="I3" s="448"/>
      <c r="J3" s="448"/>
      <c r="K3" s="448"/>
      <c r="L3" s="448"/>
      <c r="M3" s="448"/>
    </row>
    <row r="4" spans="1:13">
      <c r="A4" s="448"/>
      <c r="B4" s="448"/>
      <c r="C4" s="448"/>
      <c r="D4" s="448"/>
      <c r="E4" s="448"/>
      <c r="F4" s="448"/>
      <c r="G4" s="448"/>
      <c r="H4" s="448"/>
      <c r="I4" s="448"/>
      <c r="J4" s="448"/>
      <c r="K4" s="448"/>
      <c r="L4" s="448"/>
      <c r="M4" s="448"/>
    </row>
    <row r="5" spans="1:13">
      <c r="A5" s="449" t="s">
        <v>44</v>
      </c>
      <c r="B5" s="449"/>
      <c r="C5" s="449"/>
      <c r="D5" s="449"/>
      <c r="E5" s="449"/>
      <c r="F5" s="449" t="s">
        <v>230</v>
      </c>
      <c r="G5" s="449"/>
      <c r="H5" s="449"/>
      <c r="I5" s="449"/>
      <c r="J5" s="449" t="s">
        <v>100</v>
      </c>
      <c r="K5" s="449"/>
      <c r="L5" s="449"/>
      <c r="M5" s="449"/>
    </row>
    <row r="6" spans="1:13">
      <c r="A6" s="279"/>
      <c r="B6" s="279"/>
      <c r="C6" s="279"/>
      <c r="D6" s="279"/>
      <c r="E6" s="279"/>
      <c r="F6" s="279"/>
      <c r="G6" s="279"/>
      <c r="H6" s="279"/>
      <c r="I6" s="279"/>
      <c r="J6" s="279"/>
      <c r="K6" s="279"/>
      <c r="L6" s="279"/>
      <c r="M6" s="279"/>
    </row>
    <row r="7" spans="1:13" ht="31.5" customHeight="1">
      <c r="A7" s="418" t="s">
        <v>148</v>
      </c>
      <c r="B7" s="419"/>
      <c r="C7" s="419"/>
      <c r="D7" s="419"/>
      <c r="E7" s="419"/>
      <c r="F7" s="419"/>
      <c r="G7" s="420"/>
      <c r="H7" s="421" t="s">
        <v>149</v>
      </c>
      <c r="I7" s="419"/>
      <c r="J7" s="419"/>
      <c r="K7" s="419"/>
      <c r="L7" s="419"/>
      <c r="M7" s="422"/>
    </row>
    <row r="8" spans="1:13" ht="19.5">
      <c r="A8" s="423" t="s">
        <v>150</v>
      </c>
      <c r="B8" s="424"/>
      <c r="C8" s="424"/>
      <c r="D8" s="424"/>
      <c r="E8" s="424"/>
      <c r="F8" s="424"/>
      <c r="G8" s="425"/>
      <c r="H8" s="426" t="s">
        <v>77</v>
      </c>
      <c r="I8" s="426"/>
      <c r="J8" s="103"/>
      <c r="K8" s="104" t="s">
        <v>78</v>
      </c>
      <c r="L8" s="105"/>
      <c r="M8" s="106"/>
    </row>
    <row r="9" spans="1:13" s="45" customFormat="1" ht="43.15" customHeight="1">
      <c r="A9" s="107" t="s">
        <v>151</v>
      </c>
      <c r="B9" s="107" t="s">
        <v>152</v>
      </c>
      <c r="C9" s="107" t="s">
        <v>153</v>
      </c>
      <c r="D9" s="107" t="s">
        <v>154</v>
      </c>
      <c r="E9" s="107" t="s">
        <v>155</v>
      </c>
      <c r="F9" s="107" t="s">
        <v>156</v>
      </c>
      <c r="G9" s="107" t="s">
        <v>157</v>
      </c>
      <c r="H9" s="107" t="s">
        <v>158</v>
      </c>
      <c r="I9" s="107" t="s">
        <v>159</v>
      </c>
      <c r="J9" s="107" t="s">
        <v>160</v>
      </c>
      <c r="K9" s="107" t="s">
        <v>161</v>
      </c>
      <c r="L9" s="107" t="s">
        <v>162</v>
      </c>
      <c r="M9" s="107" t="s">
        <v>163</v>
      </c>
    </row>
    <row r="10" spans="1:13" ht="22.5" customHeight="1">
      <c r="A10" s="108"/>
      <c r="B10" s="109"/>
      <c r="C10" s="109"/>
      <c r="D10" s="110"/>
      <c r="E10" s="74"/>
      <c r="F10" s="110"/>
      <c r="G10" s="110"/>
      <c r="H10" s="111"/>
      <c r="I10" s="112"/>
      <c r="J10" s="113">
        <f>IF(H10&gt;0,I10/H10,0)</f>
        <v>0</v>
      </c>
      <c r="K10" s="114"/>
      <c r="L10" s="115"/>
      <c r="M10" s="116"/>
    </row>
    <row r="11" spans="1:13" ht="22.5" customHeight="1">
      <c r="A11" s="117"/>
      <c r="B11" s="118"/>
      <c r="C11" s="118"/>
      <c r="D11" s="119"/>
      <c r="E11" s="119"/>
      <c r="F11" s="119"/>
      <c r="G11" s="119"/>
      <c r="H11" s="120"/>
      <c r="I11" s="120"/>
      <c r="J11" s="121">
        <f t="shared" ref="J11:J24" si="0">IF(H11&gt;0,I11/H11,0)</f>
        <v>0</v>
      </c>
      <c r="K11" s="119"/>
      <c r="L11" s="119"/>
      <c r="M11" s="119"/>
    </row>
    <row r="12" spans="1:13" s="44" customFormat="1" ht="22.5" customHeight="1">
      <c r="A12" s="108"/>
      <c r="B12" s="109"/>
      <c r="C12" s="109"/>
      <c r="D12" s="110"/>
      <c r="E12" s="110"/>
      <c r="F12" s="110"/>
      <c r="G12" s="110"/>
      <c r="H12" s="111"/>
      <c r="I12" s="111"/>
      <c r="J12" s="113">
        <f t="shared" si="0"/>
        <v>0</v>
      </c>
      <c r="K12" s="110"/>
      <c r="L12" s="110"/>
      <c r="M12" s="110"/>
    </row>
    <row r="13" spans="1:13" ht="22.5" customHeight="1">
      <c r="A13" s="117"/>
      <c r="B13" s="118"/>
      <c r="C13" s="118"/>
      <c r="D13" s="119"/>
      <c r="E13" s="119"/>
      <c r="F13" s="119"/>
      <c r="G13" s="119"/>
      <c r="H13" s="120"/>
      <c r="I13" s="120"/>
      <c r="J13" s="121">
        <f t="shared" si="0"/>
        <v>0</v>
      </c>
      <c r="K13" s="119"/>
      <c r="L13" s="119"/>
      <c r="M13" s="119"/>
    </row>
    <row r="14" spans="1:13" ht="22.5" customHeight="1">
      <c r="A14" s="108"/>
      <c r="B14" s="109"/>
      <c r="C14" s="109"/>
      <c r="D14" s="110"/>
      <c r="E14" s="110"/>
      <c r="F14" s="110"/>
      <c r="G14" s="110"/>
      <c r="H14" s="111"/>
      <c r="I14" s="111"/>
      <c r="J14" s="113">
        <f t="shared" si="0"/>
        <v>0</v>
      </c>
      <c r="K14" s="110"/>
      <c r="L14" s="110"/>
      <c r="M14" s="110"/>
    </row>
    <row r="15" spans="1:13" ht="22.5" customHeight="1">
      <c r="A15" s="117"/>
      <c r="B15" s="118"/>
      <c r="C15" s="118"/>
      <c r="D15" s="119"/>
      <c r="E15" s="119"/>
      <c r="F15" s="119"/>
      <c r="G15" s="119"/>
      <c r="H15" s="120"/>
      <c r="I15" s="120"/>
      <c r="J15" s="121">
        <f t="shared" si="0"/>
        <v>0</v>
      </c>
      <c r="K15" s="119"/>
      <c r="L15" s="119"/>
      <c r="M15" s="119"/>
    </row>
    <row r="16" spans="1:13" ht="22.5" customHeight="1">
      <c r="A16" s="108"/>
      <c r="B16" s="109"/>
      <c r="C16" s="109"/>
      <c r="D16" s="110"/>
      <c r="E16" s="110"/>
      <c r="F16" s="110"/>
      <c r="G16" s="110"/>
      <c r="H16" s="111"/>
      <c r="I16" s="111"/>
      <c r="J16" s="113">
        <f t="shared" si="0"/>
        <v>0</v>
      </c>
      <c r="K16" s="110"/>
      <c r="L16" s="110"/>
      <c r="M16" s="110"/>
    </row>
    <row r="17" spans="1:13" ht="22.5" customHeight="1">
      <c r="A17" s="122"/>
      <c r="B17" s="123"/>
      <c r="C17" s="123"/>
      <c r="D17" s="124"/>
      <c r="E17" s="119"/>
      <c r="F17" s="119"/>
      <c r="G17" s="119"/>
      <c r="H17" s="120"/>
      <c r="I17" s="125"/>
      <c r="J17" s="121">
        <f t="shared" si="0"/>
        <v>0</v>
      </c>
      <c r="K17" s="126"/>
      <c r="L17" s="126"/>
      <c r="M17" s="127"/>
    </row>
    <row r="18" spans="1:13" ht="22.5" customHeight="1">
      <c r="A18" s="108"/>
      <c r="B18" s="109"/>
      <c r="C18" s="109"/>
      <c r="D18" s="110"/>
      <c r="E18" s="110"/>
      <c r="F18" s="110"/>
      <c r="G18" s="110"/>
      <c r="H18" s="111"/>
      <c r="I18" s="112"/>
      <c r="J18" s="113">
        <f t="shared" si="0"/>
        <v>0</v>
      </c>
      <c r="K18" s="114"/>
      <c r="L18" s="114"/>
      <c r="M18" s="116"/>
    </row>
    <row r="19" spans="1:13" ht="22.5" customHeight="1">
      <c r="A19" s="117"/>
      <c r="B19" s="118"/>
      <c r="C19" s="118"/>
      <c r="D19" s="124"/>
      <c r="E19" s="119"/>
      <c r="F19" s="119"/>
      <c r="G19" s="119"/>
      <c r="H19" s="120"/>
      <c r="I19" s="125"/>
      <c r="J19" s="121">
        <f t="shared" si="0"/>
        <v>0</v>
      </c>
      <c r="K19" s="126"/>
      <c r="L19" s="126"/>
      <c r="M19" s="127"/>
    </row>
    <row r="20" spans="1:13" ht="22.5" customHeight="1">
      <c r="A20" s="108"/>
      <c r="B20" s="109"/>
      <c r="C20" s="109"/>
      <c r="D20" s="128"/>
      <c r="E20" s="110"/>
      <c r="F20" s="110"/>
      <c r="G20" s="110"/>
      <c r="H20" s="129"/>
      <c r="I20" s="111"/>
      <c r="J20" s="113">
        <f t="shared" si="0"/>
        <v>0</v>
      </c>
      <c r="K20" s="110"/>
      <c r="L20" s="110"/>
      <c r="M20" s="116"/>
    </row>
    <row r="21" spans="1:13" ht="22.5" customHeight="1">
      <c r="A21" s="122"/>
      <c r="B21" s="123"/>
      <c r="C21" s="123"/>
      <c r="D21" s="124"/>
      <c r="E21" s="119"/>
      <c r="F21" s="119"/>
      <c r="G21" s="119"/>
      <c r="H21" s="120"/>
      <c r="I21" s="125"/>
      <c r="J21" s="121">
        <f t="shared" si="0"/>
        <v>0</v>
      </c>
      <c r="K21" s="126"/>
      <c r="L21" s="126"/>
      <c r="M21" s="127"/>
    </row>
    <row r="22" spans="1:13" ht="22.5" customHeight="1">
      <c r="A22" s="108"/>
      <c r="B22" s="109"/>
      <c r="C22" s="109"/>
      <c r="D22" s="110"/>
      <c r="E22" s="110"/>
      <c r="F22" s="110"/>
      <c r="G22" s="110"/>
      <c r="H22" s="111"/>
      <c r="I22" s="112"/>
      <c r="J22" s="113">
        <f t="shared" si="0"/>
        <v>0</v>
      </c>
      <c r="K22" s="114"/>
      <c r="L22" s="114"/>
      <c r="M22" s="116"/>
    </row>
    <row r="23" spans="1:13" ht="22.5" customHeight="1">
      <c r="A23" s="117"/>
      <c r="B23" s="118"/>
      <c r="C23" s="118"/>
      <c r="D23" s="124"/>
      <c r="E23" s="119"/>
      <c r="F23" s="119"/>
      <c r="G23" s="119"/>
      <c r="H23" s="120"/>
      <c r="I23" s="125"/>
      <c r="J23" s="121">
        <f t="shared" si="0"/>
        <v>0</v>
      </c>
      <c r="K23" s="126"/>
      <c r="L23" s="126"/>
      <c r="M23" s="127"/>
    </row>
    <row r="24" spans="1:13" ht="22.5" customHeight="1">
      <c r="A24" s="108"/>
      <c r="B24" s="109"/>
      <c r="C24" s="109"/>
      <c r="D24" s="128"/>
      <c r="E24" s="110"/>
      <c r="F24" s="110"/>
      <c r="G24" s="110"/>
      <c r="H24" s="129"/>
      <c r="I24" s="111"/>
      <c r="J24" s="113">
        <f t="shared" si="0"/>
        <v>0</v>
      </c>
      <c r="K24" s="110"/>
      <c r="L24" s="110"/>
      <c r="M24" s="116"/>
    </row>
    <row r="25" spans="1:13" ht="25.5" customHeight="1">
      <c r="A25" s="427" t="s">
        <v>96</v>
      </c>
      <c r="B25" s="428"/>
      <c r="C25" s="428"/>
      <c r="D25" s="428"/>
      <c r="E25" s="428"/>
      <c r="F25" s="428"/>
      <c r="G25" s="428"/>
      <c r="H25" s="429"/>
      <c r="I25" s="436" t="s">
        <v>164</v>
      </c>
      <c r="J25" s="437"/>
      <c r="K25" s="437"/>
      <c r="L25" s="437"/>
      <c r="M25" s="438"/>
    </row>
    <row r="26" spans="1:13" ht="16.149999999999999" customHeight="1">
      <c r="A26" s="427"/>
      <c r="B26" s="428"/>
      <c r="C26" s="428"/>
      <c r="D26" s="428"/>
      <c r="E26" s="428"/>
      <c r="F26" s="428"/>
      <c r="G26" s="428"/>
      <c r="H26" s="429"/>
      <c r="I26" s="436"/>
      <c r="J26" s="437"/>
      <c r="K26" s="437"/>
      <c r="L26" s="437"/>
      <c r="M26" s="438"/>
    </row>
    <row r="27" spans="1:13" ht="16.149999999999999" customHeight="1">
      <c r="A27" s="427"/>
      <c r="B27" s="428"/>
      <c r="C27" s="428"/>
      <c r="D27" s="428"/>
      <c r="E27" s="428"/>
      <c r="F27" s="428"/>
      <c r="G27" s="428"/>
      <c r="H27" s="429"/>
      <c r="I27" s="436"/>
      <c r="J27" s="437"/>
      <c r="K27" s="437"/>
      <c r="L27" s="437"/>
      <c r="M27" s="438"/>
    </row>
    <row r="28" spans="1:13" ht="16.149999999999999" customHeight="1">
      <c r="A28" s="430"/>
      <c r="B28" s="431"/>
      <c r="C28" s="431"/>
      <c r="D28" s="431"/>
      <c r="E28" s="431"/>
      <c r="F28" s="431"/>
      <c r="G28" s="431"/>
      <c r="H28" s="432"/>
      <c r="I28" s="439"/>
      <c r="J28" s="440"/>
      <c r="K28" s="440"/>
      <c r="L28" s="440"/>
      <c r="M28" s="441"/>
    </row>
    <row r="29" spans="1:13" ht="16.149999999999999" customHeight="1" thickBot="1">
      <c r="A29" s="433"/>
      <c r="B29" s="434"/>
      <c r="C29" s="434"/>
      <c r="D29" s="434"/>
      <c r="E29" s="434"/>
      <c r="F29" s="434"/>
      <c r="G29" s="434"/>
      <c r="H29" s="435"/>
      <c r="I29" s="442"/>
      <c r="J29" s="443"/>
      <c r="K29" s="443"/>
      <c r="L29" s="443"/>
      <c r="M29" s="444"/>
    </row>
    <row r="30" spans="1:13" ht="15.75">
      <c r="A30" s="42"/>
      <c r="B30" s="42"/>
      <c r="C30" s="42"/>
      <c r="D30" s="42"/>
      <c r="E30" s="42"/>
      <c r="F30" s="42"/>
      <c r="G30" s="42"/>
      <c r="H30" s="42"/>
      <c r="I30" s="42"/>
      <c r="J30" s="42"/>
      <c r="K30" s="42"/>
      <c r="L30" s="42"/>
      <c r="M30" s="42"/>
    </row>
    <row r="31" spans="1:13" ht="15.75">
      <c r="A31" s="42"/>
      <c r="B31" s="42"/>
      <c r="C31" s="42"/>
      <c r="D31" s="42"/>
      <c r="E31" s="42"/>
      <c r="F31" s="42"/>
      <c r="G31" s="42"/>
      <c r="H31" s="42"/>
      <c r="I31" s="42"/>
      <c r="J31" s="42"/>
      <c r="K31" s="42"/>
      <c r="L31" s="42"/>
      <c r="M31" s="42"/>
    </row>
    <row r="32" spans="1:13" ht="15.75">
      <c r="A32" s="42"/>
      <c r="B32" s="42"/>
      <c r="C32" s="42"/>
      <c r="D32" s="42"/>
      <c r="E32" s="42"/>
      <c r="F32" s="42"/>
      <c r="G32" s="42"/>
      <c r="H32" s="42"/>
      <c r="I32" s="42"/>
      <c r="J32" s="42"/>
      <c r="K32" s="42"/>
      <c r="L32" s="42"/>
      <c r="M32" s="42"/>
    </row>
    <row r="33" spans="1:13" ht="15.75">
      <c r="A33" s="42"/>
      <c r="B33" s="42"/>
      <c r="C33" s="42"/>
      <c r="D33" s="42"/>
      <c r="E33" s="42"/>
      <c r="F33" s="42"/>
      <c r="G33" s="42"/>
      <c r="H33" s="42"/>
      <c r="I33" s="42"/>
      <c r="J33" s="42"/>
      <c r="K33" s="42"/>
      <c r="L33" s="42"/>
      <c r="M33" s="42"/>
    </row>
    <row r="34" spans="1:13" ht="15.75">
      <c r="A34" s="42"/>
      <c r="B34" s="42"/>
      <c r="C34" s="42"/>
      <c r="D34" s="42"/>
      <c r="E34" s="42"/>
      <c r="F34" s="42"/>
      <c r="G34" s="42"/>
      <c r="H34" s="42"/>
      <c r="I34" s="42"/>
      <c r="J34" s="42"/>
      <c r="K34" s="42"/>
      <c r="L34" s="42"/>
      <c r="M34" s="42"/>
    </row>
    <row r="35" spans="1:13" ht="15.75">
      <c r="A35" s="42"/>
      <c r="B35" s="42"/>
      <c r="C35" s="42"/>
      <c r="D35" s="42"/>
      <c r="E35" s="42"/>
      <c r="F35" s="42"/>
      <c r="G35" s="42"/>
      <c r="H35" s="42"/>
      <c r="I35" s="42"/>
      <c r="J35" s="42"/>
      <c r="K35" s="42"/>
      <c r="L35" s="42"/>
      <c r="M35" s="42"/>
    </row>
    <row r="36" spans="1:13" ht="15.75">
      <c r="A36" s="42"/>
      <c r="B36" s="42"/>
      <c r="C36" s="42"/>
      <c r="D36" s="42"/>
      <c r="E36" s="42"/>
      <c r="F36" s="42"/>
      <c r="G36" s="42"/>
      <c r="H36" s="42"/>
      <c r="I36" s="42"/>
      <c r="J36" s="42"/>
      <c r="K36" s="42"/>
      <c r="L36" s="42"/>
      <c r="M36" s="42"/>
    </row>
    <row r="37" spans="1:13" ht="15.75">
      <c r="A37" s="42"/>
      <c r="B37" s="42"/>
      <c r="C37" s="42"/>
      <c r="D37" s="42"/>
      <c r="E37" s="42"/>
      <c r="F37" s="42"/>
      <c r="G37" s="42"/>
      <c r="H37" s="42"/>
      <c r="I37" s="42"/>
      <c r="J37" s="42"/>
      <c r="K37" s="42"/>
      <c r="L37" s="42"/>
      <c r="M37" s="42"/>
    </row>
    <row r="38" spans="1:13" ht="15.75">
      <c r="A38" s="42"/>
      <c r="B38" s="42"/>
      <c r="C38" s="42"/>
      <c r="D38" s="42"/>
      <c r="E38" s="42"/>
      <c r="F38" s="42"/>
      <c r="G38" s="42"/>
      <c r="H38" s="42"/>
      <c r="I38" s="42"/>
      <c r="J38" s="42"/>
      <c r="K38" s="42"/>
      <c r="L38" s="42"/>
      <c r="M38" s="42"/>
    </row>
    <row r="39" spans="1:13" ht="15.75">
      <c r="A39" s="42"/>
      <c r="B39" s="42"/>
      <c r="C39" s="42"/>
      <c r="D39" s="42"/>
      <c r="E39" s="42"/>
      <c r="F39" s="42"/>
      <c r="G39" s="42"/>
      <c r="H39" s="42"/>
      <c r="I39" s="42"/>
      <c r="J39" s="42"/>
      <c r="K39" s="42"/>
      <c r="L39" s="42"/>
      <c r="M39" s="42"/>
    </row>
    <row r="40" spans="1:13" ht="15.75">
      <c r="A40" s="42"/>
      <c r="B40" s="42"/>
      <c r="C40" s="42"/>
      <c r="D40" s="42"/>
      <c r="E40" s="42"/>
      <c r="F40" s="42"/>
      <c r="G40" s="42"/>
      <c r="H40" s="42"/>
      <c r="I40" s="42"/>
      <c r="J40" s="42"/>
      <c r="K40" s="42"/>
      <c r="L40" s="42"/>
      <c r="M40" s="42"/>
    </row>
    <row r="41" spans="1:13" ht="15.75">
      <c r="A41" s="42"/>
      <c r="B41" s="42"/>
      <c r="C41" s="42"/>
      <c r="D41" s="42"/>
      <c r="E41" s="42"/>
      <c r="F41" s="42"/>
      <c r="G41" s="42"/>
      <c r="H41" s="42"/>
      <c r="I41" s="42"/>
      <c r="J41" s="42"/>
      <c r="K41" s="42"/>
      <c r="L41" s="42"/>
      <c r="M41" s="42"/>
    </row>
    <row r="42" spans="1:13" ht="15.75">
      <c r="A42" s="42"/>
      <c r="B42" s="42"/>
      <c r="C42" s="42"/>
      <c r="D42" s="42"/>
      <c r="E42" s="42"/>
      <c r="F42" s="42"/>
      <c r="G42" s="42"/>
      <c r="H42" s="42"/>
      <c r="I42" s="42"/>
      <c r="J42" s="42"/>
      <c r="K42" s="42"/>
      <c r="L42" s="42"/>
      <c r="M42" s="42"/>
    </row>
    <row r="43" spans="1:13" ht="15.75">
      <c r="A43" s="42"/>
      <c r="B43" s="42"/>
      <c r="C43" s="42"/>
      <c r="D43" s="42"/>
      <c r="E43" s="42"/>
      <c r="F43" s="42"/>
      <c r="G43" s="42"/>
      <c r="H43" s="42"/>
      <c r="I43" s="42"/>
      <c r="J43" s="42"/>
      <c r="K43" s="42"/>
      <c r="L43" s="42"/>
      <c r="M43" s="42"/>
    </row>
    <row r="44" spans="1:13" ht="15.75">
      <c r="A44" s="42"/>
      <c r="B44" s="42"/>
      <c r="C44" s="42"/>
      <c r="D44" s="42"/>
      <c r="E44" s="42"/>
      <c r="F44" s="42"/>
      <c r="G44" s="42"/>
      <c r="H44" s="42"/>
      <c r="I44" s="42"/>
      <c r="J44" s="42"/>
      <c r="K44" s="42"/>
      <c r="L44" s="42"/>
      <c r="M44" s="42"/>
    </row>
    <row r="45" spans="1:13" ht="15.75">
      <c r="A45" s="42"/>
      <c r="B45" s="42"/>
      <c r="C45" s="42"/>
      <c r="D45" s="42"/>
      <c r="E45" s="42"/>
      <c r="F45" s="42"/>
      <c r="G45" s="42"/>
      <c r="H45" s="42"/>
      <c r="I45" s="42"/>
      <c r="J45" s="42"/>
      <c r="K45" s="42"/>
      <c r="L45" s="42"/>
      <c r="M45" s="42"/>
    </row>
    <row r="46" spans="1:13" ht="15.75">
      <c r="A46" s="42"/>
      <c r="B46" s="42"/>
      <c r="C46" s="42"/>
      <c r="D46" s="42"/>
      <c r="E46" s="42"/>
      <c r="F46" s="42"/>
      <c r="G46" s="42"/>
      <c r="H46" s="42"/>
      <c r="I46" s="42"/>
      <c r="J46" s="42"/>
      <c r="K46" s="42"/>
      <c r="L46" s="42"/>
      <c r="M46" s="42"/>
    </row>
    <row r="47" spans="1:13" ht="15.75">
      <c r="A47" s="42"/>
      <c r="B47" s="42"/>
      <c r="C47" s="42"/>
      <c r="D47" s="42"/>
      <c r="E47" s="42"/>
      <c r="F47" s="42"/>
      <c r="G47" s="42"/>
      <c r="H47" s="42"/>
      <c r="I47" s="42"/>
      <c r="J47" s="42"/>
      <c r="K47" s="42"/>
      <c r="L47" s="42"/>
      <c r="M47" s="42"/>
    </row>
    <row r="48" spans="1:13" ht="15.75">
      <c r="A48" s="42"/>
      <c r="B48" s="42"/>
      <c r="C48" s="42"/>
      <c r="D48" s="42"/>
      <c r="E48" s="42"/>
      <c r="F48" s="42"/>
      <c r="G48" s="42"/>
      <c r="H48" s="42"/>
      <c r="I48" s="42"/>
      <c r="J48" s="42"/>
      <c r="K48" s="42"/>
      <c r="L48" s="42"/>
      <c r="M48" s="42"/>
    </row>
    <row r="49" spans="1:13" ht="15.75">
      <c r="A49" s="42"/>
      <c r="B49" s="42"/>
      <c r="C49" s="42"/>
      <c r="D49" s="42"/>
      <c r="E49" s="42"/>
      <c r="F49" s="42"/>
      <c r="G49" s="42"/>
      <c r="H49" s="42"/>
      <c r="I49" s="42"/>
      <c r="J49" s="42"/>
      <c r="K49" s="42"/>
      <c r="L49" s="42"/>
      <c r="M49" s="42"/>
    </row>
    <row r="50" spans="1:13" ht="15.75">
      <c r="A50" s="42"/>
      <c r="B50" s="42"/>
      <c r="C50" s="42"/>
      <c r="D50" s="42"/>
      <c r="E50" s="42"/>
      <c r="F50" s="42"/>
      <c r="G50" s="42"/>
      <c r="H50" s="42"/>
      <c r="I50" s="42"/>
      <c r="J50" s="42"/>
      <c r="K50" s="42"/>
      <c r="L50" s="42"/>
      <c r="M50" s="42"/>
    </row>
    <row r="51" spans="1:13" ht="15.75">
      <c r="A51" s="42"/>
      <c r="B51" s="42"/>
      <c r="C51" s="42"/>
      <c r="D51" s="42"/>
      <c r="E51" s="42"/>
      <c r="F51" s="42"/>
      <c r="G51" s="42"/>
      <c r="H51" s="42"/>
      <c r="I51" s="42"/>
      <c r="J51" s="42"/>
      <c r="K51" s="42"/>
      <c r="L51" s="42"/>
      <c r="M51" s="42"/>
    </row>
    <row r="52" spans="1:13" ht="15.75">
      <c r="A52" s="42"/>
      <c r="B52" s="42"/>
      <c r="C52" s="42"/>
      <c r="D52" s="42"/>
      <c r="E52" s="42"/>
      <c r="F52" s="42"/>
      <c r="G52" s="42"/>
      <c r="H52" s="42"/>
      <c r="I52" s="42"/>
      <c r="J52" s="42"/>
      <c r="K52" s="42"/>
      <c r="L52" s="42"/>
      <c r="M52" s="42"/>
    </row>
    <row r="53" spans="1:13" ht="15.75">
      <c r="A53" s="42"/>
      <c r="B53" s="42"/>
      <c r="C53" s="42"/>
      <c r="D53" s="42"/>
      <c r="E53" s="42"/>
      <c r="F53" s="42"/>
      <c r="G53" s="42"/>
      <c r="H53" s="42"/>
      <c r="I53" s="42"/>
      <c r="J53" s="42"/>
      <c r="K53" s="42"/>
      <c r="L53" s="42"/>
      <c r="M53" s="42"/>
    </row>
    <row r="54" spans="1:13" ht="15.75">
      <c r="A54" s="42"/>
      <c r="B54" s="42"/>
      <c r="C54" s="42"/>
      <c r="D54" s="42"/>
      <c r="E54" s="42"/>
      <c r="F54" s="42"/>
      <c r="G54" s="42"/>
      <c r="H54" s="42"/>
      <c r="I54" s="42"/>
      <c r="J54" s="42"/>
      <c r="K54" s="42"/>
      <c r="L54" s="42"/>
      <c r="M54" s="42"/>
    </row>
    <row r="55" spans="1:13" ht="15.75">
      <c r="A55" s="42"/>
      <c r="B55" s="42"/>
      <c r="C55" s="42"/>
      <c r="D55" s="42"/>
      <c r="E55" s="42"/>
      <c r="F55" s="42"/>
      <c r="G55" s="42"/>
      <c r="H55" s="42"/>
      <c r="I55" s="42"/>
      <c r="J55" s="42"/>
      <c r="K55" s="42"/>
      <c r="L55" s="42"/>
      <c r="M55" s="42"/>
    </row>
    <row r="56" spans="1:13" ht="15.75">
      <c r="A56" s="42"/>
      <c r="B56" s="42"/>
      <c r="C56" s="42"/>
      <c r="D56" s="42"/>
      <c r="E56" s="42"/>
      <c r="F56" s="42"/>
      <c r="G56" s="42"/>
      <c r="H56" s="42"/>
      <c r="I56" s="42"/>
      <c r="J56" s="42"/>
      <c r="K56" s="42"/>
      <c r="L56" s="42"/>
      <c r="M56" s="42"/>
    </row>
    <row r="57" spans="1:13" ht="15.75">
      <c r="A57" s="42"/>
      <c r="B57" s="42"/>
      <c r="C57" s="42"/>
      <c r="D57" s="42"/>
      <c r="E57" s="42"/>
      <c r="F57" s="42"/>
      <c r="G57" s="42"/>
      <c r="H57" s="42"/>
      <c r="I57" s="42"/>
      <c r="J57" s="42"/>
      <c r="K57" s="42"/>
      <c r="L57" s="42"/>
      <c r="M57" s="42"/>
    </row>
    <row r="58" spans="1:13" ht="15.75">
      <c r="A58" s="42"/>
      <c r="B58" s="42"/>
      <c r="C58" s="42"/>
      <c r="D58" s="42"/>
      <c r="E58" s="42"/>
      <c r="F58" s="42"/>
      <c r="G58" s="42"/>
      <c r="H58" s="42"/>
      <c r="I58" s="42"/>
      <c r="J58" s="42"/>
      <c r="K58" s="42"/>
      <c r="L58" s="42"/>
      <c r="M58" s="42"/>
    </row>
    <row r="59" spans="1:13" ht="15.75">
      <c r="A59" s="42"/>
      <c r="B59" s="42"/>
      <c r="C59" s="42"/>
      <c r="D59" s="42"/>
      <c r="E59" s="42"/>
      <c r="F59" s="42"/>
      <c r="G59" s="42"/>
      <c r="H59" s="42"/>
      <c r="I59" s="42"/>
      <c r="J59" s="42"/>
      <c r="K59" s="42"/>
      <c r="L59" s="42"/>
      <c r="M59" s="42"/>
    </row>
    <row r="60" spans="1:13" ht="15.75">
      <c r="A60" s="42"/>
      <c r="B60" s="42"/>
      <c r="C60" s="42"/>
      <c r="D60" s="42"/>
      <c r="E60" s="42"/>
      <c r="F60" s="42"/>
      <c r="G60" s="42"/>
      <c r="H60" s="42"/>
      <c r="I60" s="42"/>
      <c r="J60" s="42"/>
      <c r="K60" s="42"/>
      <c r="L60" s="42"/>
      <c r="M60" s="42"/>
    </row>
    <row r="61" spans="1:13" ht="15.75">
      <c r="A61" s="42"/>
      <c r="B61" s="42"/>
      <c r="C61" s="42"/>
      <c r="D61" s="42"/>
      <c r="E61" s="42"/>
      <c r="F61" s="42"/>
      <c r="G61" s="42"/>
      <c r="H61" s="42"/>
      <c r="I61" s="42"/>
      <c r="J61" s="42"/>
      <c r="K61" s="42"/>
      <c r="L61" s="42"/>
      <c r="M61" s="42"/>
    </row>
    <row r="62" spans="1:13" ht="15.75">
      <c r="A62" s="42"/>
      <c r="B62" s="42"/>
      <c r="C62" s="42"/>
      <c r="D62" s="42"/>
      <c r="E62" s="42"/>
      <c r="F62" s="42"/>
      <c r="G62" s="42"/>
      <c r="H62" s="42"/>
      <c r="I62" s="42"/>
      <c r="J62" s="42"/>
      <c r="K62" s="42"/>
      <c r="L62" s="42"/>
      <c r="M62" s="42"/>
    </row>
    <row r="63" spans="1:13" ht="15.75">
      <c r="A63" s="42"/>
      <c r="B63" s="42"/>
      <c r="C63" s="42"/>
      <c r="D63" s="42"/>
      <c r="E63" s="42"/>
      <c r="F63" s="42"/>
      <c r="G63" s="42"/>
      <c r="H63" s="42"/>
      <c r="I63" s="42"/>
      <c r="J63" s="42"/>
      <c r="K63" s="42"/>
      <c r="L63" s="42"/>
      <c r="M63" s="42"/>
    </row>
    <row r="64" spans="1:13" ht="15.75">
      <c r="A64" s="42"/>
      <c r="B64" s="42"/>
      <c r="C64" s="42"/>
      <c r="D64" s="42"/>
      <c r="E64" s="42"/>
      <c r="F64" s="42"/>
      <c r="G64" s="42"/>
      <c r="H64" s="42"/>
      <c r="I64" s="42"/>
      <c r="J64" s="42"/>
      <c r="K64" s="42"/>
      <c r="L64" s="42"/>
      <c r="M64" s="42"/>
    </row>
    <row r="65" spans="1:13" ht="15.75">
      <c r="A65" s="42"/>
      <c r="B65" s="42"/>
      <c r="C65" s="42"/>
      <c r="D65" s="42"/>
      <c r="E65" s="42"/>
      <c r="F65" s="42"/>
      <c r="G65" s="42"/>
      <c r="H65" s="42"/>
      <c r="I65" s="42"/>
      <c r="J65" s="42"/>
      <c r="K65" s="42"/>
      <c r="L65" s="42"/>
      <c r="M65" s="42"/>
    </row>
    <row r="66" spans="1:13" ht="15.75">
      <c r="A66" s="42"/>
      <c r="B66" s="42"/>
      <c r="C66" s="42"/>
      <c r="D66" s="42"/>
      <c r="E66" s="42"/>
      <c r="F66" s="42"/>
      <c r="G66" s="42"/>
      <c r="H66" s="42"/>
      <c r="I66" s="42"/>
      <c r="J66" s="42"/>
      <c r="K66" s="42"/>
      <c r="L66" s="42"/>
      <c r="M66" s="42"/>
    </row>
    <row r="67" spans="1:13" ht="15.75">
      <c r="A67" s="42"/>
      <c r="B67" s="42"/>
      <c r="C67" s="42"/>
      <c r="D67" s="42"/>
      <c r="E67" s="42"/>
      <c r="F67" s="42"/>
      <c r="G67" s="42"/>
      <c r="H67" s="42"/>
      <c r="I67" s="42"/>
      <c r="J67" s="42"/>
      <c r="K67" s="42"/>
      <c r="L67" s="42"/>
      <c r="M67" s="42"/>
    </row>
    <row r="68" spans="1:13" ht="15.75">
      <c r="A68" s="42"/>
      <c r="B68" s="42"/>
      <c r="C68" s="42"/>
      <c r="D68" s="42"/>
      <c r="E68" s="42"/>
      <c r="F68" s="42"/>
      <c r="G68" s="42"/>
      <c r="H68" s="42"/>
      <c r="I68" s="42"/>
      <c r="J68" s="42"/>
      <c r="K68" s="42"/>
      <c r="L68" s="42"/>
      <c r="M68" s="42"/>
    </row>
  </sheetData>
  <mergeCells count="18">
    <mergeCell ref="L5:M5"/>
    <mergeCell ref="A6:M6"/>
    <mergeCell ref="A5:C5"/>
    <mergeCell ref="D5:E5"/>
    <mergeCell ref="F5:G5"/>
    <mergeCell ref="H5:I5"/>
    <mergeCell ref="J5:K5"/>
    <mergeCell ref="A1:F2"/>
    <mergeCell ref="G1:J1"/>
    <mergeCell ref="G2:J2"/>
    <mergeCell ref="K1:M2"/>
    <mergeCell ref="A3:M4"/>
    <mergeCell ref="A7:G7"/>
    <mergeCell ref="H7:M7"/>
    <mergeCell ref="A8:G8"/>
    <mergeCell ref="H8:I8"/>
    <mergeCell ref="A25:H29"/>
    <mergeCell ref="I25:M29"/>
  </mergeCells>
  <hyperlinks>
    <hyperlink ref="K1:M2" location="MENU!A1" tooltip="Ir al Menú" display="◄ MENU" xr:uid="{DA5D19FE-5C23-4C6B-BF3C-A97657773205}"/>
  </hyperlinks>
  <pageMargins left="0.7" right="0.7" top="0.75" bottom="0.75" header="0.511811023622047" footer="0.511811023622047"/>
  <pageSetup fitToHeight="0"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5A11"/>
    <pageSetUpPr fitToPage="1"/>
  </sheetPr>
  <dimension ref="A1:O74"/>
  <sheetViews>
    <sheetView zoomScaleNormal="100" workbookViewId="0">
      <pane ySplit="7" topLeftCell="A8" activePane="bottomLeft" state="frozen"/>
      <selection pane="bottomLeft" activeCell="A3" sqref="A3:O4"/>
    </sheetView>
  </sheetViews>
  <sheetFormatPr baseColWidth="10" defaultColWidth="11.42578125" defaultRowHeight="15"/>
  <cols>
    <col min="1" max="1" width="7.85546875" customWidth="1"/>
    <col min="2" max="2" width="19.7109375" customWidth="1"/>
    <col min="3" max="3" width="10.28515625" customWidth="1"/>
    <col min="4" max="4" width="9" customWidth="1"/>
    <col min="5" max="5" width="9.42578125" customWidth="1"/>
    <col min="6" max="6" width="7.7109375" customWidth="1"/>
    <col min="7" max="7" width="9.7109375" customWidth="1"/>
    <col min="8" max="8" width="11.28515625" customWidth="1"/>
    <col min="9" max="10" width="6.7109375" customWidth="1"/>
    <col min="11" max="12" width="18.42578125" customWidth="1"/>
    <col min="13" max="21" width="0" hidden="1" customWidth="1"/>
  </cols>
  <sheetData>
    <row r="1" spans="1:15">
      <c r="A1" s="445" t="s">
        <v>237</v>
      </c>
      <c r="B1" s="445"/>
      <c r="C1" s="445"/>
      <c r="D1" s="445"/>
      <c r="E1" s="445"/>
      <c r="F1" s="445"/>
      <c r="G1" s="446" t="s">
        <v>241</v>
      </c>
      <c r="H1" s="446"/>
      <c r="I1" s="446"/>
      <c r="J1" s="446"/>
      <c r="K1" s="447" t="s">
        <v>228</v>
      </c>
      <c r="L1" s="447"/>
      <c r="M1" s="447"/>
      <c r="N1" s="335"/>
      <c r="O1" s="335"/>
    </row>
    <row r="2" spans="1:15">
      <c r="A2" s="445"/>
      <c r="B2" s="445"/>
      <c r="C2" s="445"/>
      <c r="D2" s="445"/>
      <c r="E2" s="445"/>
      <c r="F2" s="445"/>
      <c r="G2" s="446" t="s">
        <v>239</v>
      </c>
      <c r="H2" s="446"/>
      <c r="I2" s="446"/>
      <c r="J2" s="446"/>
      <c r="K2" s="447"/>
      <c r="L2" s="447"/>
      <c r="M2" s="447"/>
      <c r="N2" s="335"/>
      <c r="O2" s="335"/>
    </row>
    <row r="3" spans="1:15">
      <c r="A3" s="459" t="s">
        <v>242</v>
      </c>
      <c r="B3" s="459"/>
      <c r="C3" s="459"/>
      <c r="D3" s="459"/>
      <c r="E3" s="459"/>
      <c r="F3" s="459"/>
      <c r="G3" s="459"/>
      <c r="H3" s="459"/>
      <c r="I3" s="459"/>
      <c r="J3" s="459"/>
      <c r="K3" s="459"/>
      <c r="L3" s="459"/>
      <c r="M3" s="459"/>
      <c r="N3" s="459"/>
      <c r="O3" s="459"/>
    </row>
    <row r="4" spans="1:15">
      <c r="A4" s="459"/>
      <c r="B4" s="459"/>
      <c r="C4" s="459"/>
      <c r="D4" s="459"/>
      <c r="E4" s="459"/>
      <c r="F4" s="459"/>
      <c r="G4" s="459"/>
      <c r="H4" s="459"/>
      <c r="I4" s="459"/>
      <c r="J4" s="459"/>
      <c r="K4" s="459"/>
      <c r="L4" s="459"/>
      <c r="M4" s="459"/>
      <c r="N4" s="459"/>
      <c r="O4" s="459"/>
    </row>
    <row r="5" spans="1:15">
      <c r="A5" s="449" t="s">
        <v>44</v>
      </c>
      <c r="B5" s="449"/>
      <c r="C5" s="449"/>
      <c r="D5" s="449"/>
      <c r="E5" s="449"/>
      <c r="F5" s="449" t="s">
        <v>230</v>
      </c>
      <c r="G5" s="449"/>
      <c r="H5" s="449"/>
      <c r="I5" s="449"/>
      <c r="J5" s="449" t="s">
        <v>243</v>
      </c>
      <c r="K5" s="449"/>
      <c r="L5" s="449"/>
      <c r="M5" s="449"/>
      <c r="N5" s="449"/>
      <c r="O5" s="449"/>
    </row>
    <row r="6" spans="1:15">
      <c r="A6" s="279"/>
      <c r="B6" s="279"/>
      <c r="C6" s="279"/>
      <c r="D6" s="279"/>
      <c r="E6" s="279"/>
      <c r="F6" s="279"/>
      <c r="G6" s="279"/>
      <c r="H6" s="279"/>
      <c r="I6" s="279"/>
      <c r="J6" s="279"/>
      <c r="K6" s="279"/>
      <c r="L6" s="279"/>
      <c r="M6" s="279"/>
      <c r="N6" s="279"/>
      <c r="O6" s="279"/>
    </row>
    <row r="7" spans="1:15" ht="13.15" customHeight="1">
      <c r="A7" s="474" t="s">
        <v>165</v>
      </c>
      <c r="B7" s="475"/>
      <c r="C7" s="475"/>
      <c r="D7" s="475"/>
      <c r="E7" s="476"/>
      <c r="F7" s="476"/>
      <c r="G7" s="476"/>
      <c r="H7" s="476"/>
      <c r="I7" s="476"/>
      <c r="J7" s="477" t="s">
        <v>27</v>
      </c>
      <c r="K7" s="477"/>
      <c r="L7" s="478"/>
    </row>
    <row r="8" spans="1:15">
      <c r="A8" s="49" t="s">
        <v>166</v>
      </c>
      <c r="B8" s="35"/>
      <c r="C8" s="35"/>
      <c r="D8" s="35"/>
      <c r="E8" s="35"/>
      <c r="F8" s="35"/>
      <c r="G8" s="35"/>
      <c r="H8" s="35"/>
      <c r="I8" s="35"/>
      <c r="J8" s="484" t="s">
        <v>99</v>
      </c>
      <c r="K8" s="484"/>
      <c r="L8" s="485"/>
    </row>
    <row r="9" spans="1:15" s="43" customFormat="1" ht="20.25" thickBot="1">
      <c r="A9" s="486" t="s">
        <v>77</v>
      </c>
      <c r="B9" s="487"/>
      <c r="C9" s="487"/>
      <c r="D9" s="488"/>
      <c r="E9" s="489"/>
      <c r="F9" s="490"/>
      <c r="G9" s="491"/>
      <c r="H9" s="491"/>
      <c r="I9" s="492"/>
      <c r="J9" s="493" t="s">
        <v>78</v>
      </c>
      <c r="K9" s="494"/>
      <c r="L9" s="50"/>
      <c r="M9" s="43" t="s">
        <v>167</v>
      </c>
    </row>
    <row r="10" spans="1:15" s="43" customFormat="1" ht="4.1500000000000004" customHeight="1">
      <c r="A10" s="479"/>
      <c r="B10" s="480"/>
      <c r="C10" s="480"/>
      <c r="D10" s="480"/>
      <c r="E10" s="480"/>
      <c r="F10" s="480"/>
      <c r="G10" s="480"/>
      <c r="H10" s="480"/>
      <c r="I10" s="480"/>
      <c r="J10" s="480"/>
      <c r="K10" s="480"/>
      <c r="L10" s="481"/>
    </row>
    <row r="11" spans="1:15" s="51" customFormat="1" ht="30">
      <c r="A11" s="133" t="s">
        <v>168</v>
      </c>
      <c r="B11" s="133" t="s">
        <v>169</v>
      </c>
      <c r="C11" s="482" t="s">
        <v>170</v>
      </c>
      <c r="D11" s="482"/>
      <c r="E11" s="483" t="s">
        <v>171</v>
      </c>
      <c r="F11" s="483"/>
      <c r="G11" s="483" t="s">
        <v>22</v>
      </c>
      <c r="H11" s="483"/>
      <c r="I11" s="482" t="s">
        <v>21</v>
      </c>
      <c r="J11" s="482"/>
      <c r="K11" s="133" t="s">
        <v>172</v>
      </c>
      <c r="L11" s="133" t="s">
        <v>173</v>
      </c>
      <c r="N11" s="51" t="s">
        <v>174</v>
      </c>
      <c r="O11" s="51" t="s">
        <v>175</v>
      </c>
    </row>
    <row r="12" spans="1:15" ht="18.399999999999999" customHeight="1">
      <c r="A12" s="126"/>
      <c r="B12" s="126"/>
      <c r="C12" s="471"/>
      <c r="D12" s="471"/>
      <c r="E12" s="472"/>
      <c r="F12" s="472"/>
      <c r="G12" s="472"/>
      <c r="H12" s="472"/>
      <c r="I12" s="473"/>
      <c r="J12" s="471"/>
      <c r="K12" s="134"/>
      <c r="L12" s="134"/>
      <c r="N12" t="s">
        <v>176</v>
      </c>
      <c r="O12" t="s">
        <v>177</v>
      </c>
    </row>
    <row r="13" spans="1:15" ht="18.399999999999999" customHeight="1">
      <c r="A13" s="114"/>
      <c r="B13" s="114"/>
      <c r="C13" s="466"/>
      <c r="D13" s="466"/>
      <c r="E13" s="467"/>
      <c r="F13" s="467"/>
      <c r="G13" s="467"/>
      <c r="H13" s="467"/>
      <c r="I13" s="468"/>
      <c r="J13" s="466"/>
      <c r="K13" s="135"/>
      <c r="L13" s="135"/>
      <c r="N13" t="s">
        <v>178</v>
      </c>
      <c r="O13" t="s">
        <v>179</v>
      </c>
    </row>
    <row r="14" spans="1:15" s="51" customFormat="1" ht="18.399999999999999" customHeight="1">
      <c r="A14" s="136"/>
      <c r="B14" s="136"/>
      <c r="C14" s="471"/>
      <c r="D14" s="471"/>
      <c r="E14" s="472"/>
      <c r="F14" s="472"/>
      <c r="G14" s="472"/>
      <c r="H14" s="472"/>
      <c r="I14" s="473"/>
      <c r="J14" s="471"/>
      <c r="K14" s="137"/>
      <c r="L14" s="137"/>
      <c r="M14" s="44" t="s">
        <v>180</v>
      </c>
      <c r="N14" s="51" t="s">
        <v>181</v>
      </c>
      <c r="O14" s="51" t="s">
        <v>182</v>
      </c>
    </row>
    <row r="15" spans="1:15" ht="18.399999999999999" customHeight="1">
      <c r="A15" s="110"/>
      <c r="B15" s="110"/>
      <c r="C15" s="466"/>
      <c r="D15" s="466"/>
      <c r="E15" s="467"/>
      <c r="F15" s="467"/>
      <c r="G15" s="467"/>
      <c r="H15" s="467"/>
      <c r="I15" s="468"/>
      <c r="J15" s="466"/>
      <c r="K15" s="108"/>
      <c r="L15" s="108"/>
      <c r="N15">
        <v>2</v>
      </c>
      <c r="O15">
        <v>2</v>
      </c>
    </row>
    <row r="16" spans="1:15" ht="18.399999999999999" customHeight="1">
      <c r="A16" s="119"/>
      <c r="B16" s="119"/>
      <c r="C16" s="471"/>
      <c r="D16" s="471"/>
      <c r="E16" s="472"/>
      <c r="F16" s="472"/>
      <c r="G16" s="472"/>
      <c r="H16" s="472"/>
      <c r="I16" s="473"/>
      <c r="J16" s="471"/>
      <c r="K16" s="117"/>
      <c r="L16" s="117"/>
      <c r="M16" t="s">
        <v>183</v>
      </c>
      <c r="N16" t="s">
        <v>184</v>
      </c>
      <c r="O16" t="s">
        <v>185</v>
      </c>
    </row>
    <row r="17" spans="1:15" s="44" customFormat="1" ht="18.399999999999999" customHeight="1">
      <c r="A17" s="110"/>
      <c r="B17" s="110"/>
      <c r="C17" s="466"/>
      <c r="D17" s="466"/>
      <c r="E17" s="467"/>
      <c r="F17" s="467"/>
      <c r="G17" s="467"/>
      <c r="H17" s="467"/>
      <c r="I17" s="468"/>
      <c r="J17" s="466"/>
      <c r="K17" s="108"/>
      <c r="L17" s="108"/>
      <c r="N17" s="44" t="s">
        <v>174</v>
      </c>
      <c r="O17" s="44" t="s">
        <v>186</v>
      </c>
    </row>
    <row r="18" spans="1:15" ht="18.399999999999999" customHeight="1">
      <c r="A18" s="124"/>
      <c r="B18" s="124"/>
      <c r="C18" s="471"/>
      <c r="D18" s="471"/>
      <c r="E18" s="472"/>
      <c r="F18" s="472"/>
      <c r="G18" s="472"/>
      <c r="H18" s="472"/>
      <c r="I18" s="473"/>
      <c r="J18" s="471"/>
      <c r="K18" s="117"/>
      <c r="L18" s="117"/>
      <c r="M18" t="s">
        <v>187</v>
      </c>
      <c r="N18">
        <v>2020</v>
      </c>
    </row>
    <row r="19" spans="1:15" ht="18.399999999999999" customHeight="1">
      <c r="A19" s="110"/>
      <c r="B19" s="110"/>
      <c r="C19" s="466"/>
      <c r="D19" s="466"/>
      <c r="E19" s="467"/>
      <c r="F19" s="467"/>
      <c r="G19" s="467"/>
      <c r="H19" s="467"/>
      <c r="I19" s="468"/>
      <c r="J19" s="466"/>
      <c r="K19" s="108"/>
      <c r="L19" s="108"/>
    </row>
    <row r="20" spans="1:15" ht="18.399999999999999" customHeight="1">
      <c r="A20" s="119"/>
      <c r="B20" s="119"/>
      <c r="C20" s="471"/>
      <c r="D20" s="471"/>
      <c r="E20" s="472"/>
      <c r="F20" s="472"/>
      <c r="G20" s="472"/>
      <c r="H20" s="472"/>
      <c r="I20" s="473"/>
      <c r="J20" s="471"/>
      <c r="K20" s="117"/>
      <c r="L20" s="117"/>
    </row>
    <row r="21" spans="1:15" ht="18.399999999999999" customHeight="1">
      <c r="A21" s="110"/>
      <c r="B21" s="110"/>
      <c r="C21" s="466"/>
      <c r="D21" s="466"/>
      <c r="E21" s="467"/>
      <c r="F21" s="467"/>
      <c r="G21" s="467"/>
      <c r="H21" s="467"/>
      <c r="I21" s="468"/>
      <c r="J21" s="466"/>
      <c r="K21" s="108"/>
      <c r="L21" s="108"/>
    </row>
    <row r="22" spans="1:15" ht="18.399999999999999" customHeight="1">
      <c r="A22" s="124"/>
      <c r="B22" s="124"/>
      <c r="C22" s="471"/>
      <c r="D22" s="471"/>
      <c r="E22" s="472"/>
      <c r="F22" s="472"/>
      <c r="G22" s="472"/>
      <c r="H22" s="472"/>
      <c r="I22" s="473"/>
      <c r="J22" s="471"/>
      <c r="K22" s="117"/>
      <c r="L22" s="117"/>
    </row>
    <row r="23" spans="1:15" ht="18.399999999999999" customHeight="1">
      <c r="A23" s="110"/>
      <c r="B23" s="110"/>
      <c r="C23" s="466"/>
      <c r="D23" s="466"/>
      <c r="E23" s="467"/>
      <c r="F23" s="467"/>
      <c r="G23" s="467"/>
      <c r="H23" s="467"/>
      <c r="I23" s="468"/>
      <c r="J23" s="466"/>
      <c r="K23" s="108"/>
      <c r="L23" s="108"/>
    </row>
    <row r="24" spans="1:15" ht="18.399999999999999" customHeight="1">
      <c r="A24" s="130"/>
      <c r="B24" s="131"/>
      <c r="C24" s="469"/>
      <c r="D24" s="469"/>
      <c r="E24" s="470"/>
      <c r="F24" s="470"/>
      <c r="G24" s="470"/>
      <c r="H24" s="470"/>
      <c r="I24" s="469"/>
      <c r="J24" s="469"/>
      <c r="K24" s="131"/>
      <c r="L24" s="132"/>
    </row>
    <row r="25" spans="1:15" ht="18.399999999999999" customHeight="1">
      <c r="A25" s="52"/>
      <c r="B25" s="53"/>
      <c r="C25" s="464"/>
      <c r="D25" s="464"/>
      <c r="E25" s="465"/>
      <c r="F25" s="465"/>
      <c r="G25" s="465"/>
      <c r="H25" s="465"/>
      <c r="I25" s="464"/>
      <c r="J25" s="464"/>
      <c r="K25" s="53"/>
      <c r="L25" s="54"/>
    </row>
    <row r="26" spans="1:15" ht="18.399999999999999" customHeight="1">
      <c r="A26" s="55"/>
      <c r="B26" s="56"/>
      <c r="C26" s="460"/>
      <c r="D26" s="460"/>
      <c r="E26" s="461"/>
      <c r="F26" s="461"/>
      <c r="G26" s="461"/>
      <c r="H26" s="461"/>
      <c r="I26" s="460"/>
      <c r="J26" s="460"/>
      <c r="K26" s="46"/>
      <c r="L26" s="48"/>
    </row>
    <row r="27" spans="1:15" ht="18.399999999999999" customHeight="1">
      <c r="A27" s="52"/>
      <c r="B27" s="53"/>
      <c r="C27" s="464"/>
      <c r="D27" s="464"/>
      <c r="E27" s="465"/>
      <c r="F27" s="465"/>
      <c r="G27" s="465"/>
      <c r="H27" s="465"/>
      <c r="I27" s="464"/>
      <c r="J27" s="464"/>
      <c r="K27" s="53"/>
      <c r="L27" s="54"/>
    </row>
    <row r="28" spans="1:15" ht="18.399999999999999" customHeight="1">
      <c r="A28" s="47"/>
      <c r="B28" s="46"/>
      <c r="C28" s="460"/>
      <c r="D28" s="460"/>
      <c r="E28" s="461"/>
      <c r="F28" s="461"/>
      <c r="G28" s="461"/>
      <c r="H28" s="461"/>
      <c r="I28" s="460"/>
      <c r="J28" s="460"/>
      <c r="K28" s="46"/>
      <c r="L28" s="48"/>
    </row>
    <row r="29" spans="1:15" ht="18.399999999999999" customHeight="1">
      <c r="A29" s="47"/>
      <c r="B29" s="46"/>
      <c r="C29" s="460"/>
      <c r="D29" s="460"/>
      <c r="E29" s="461"/>
      <c r="F29" s="461"/>
      <c r="G29" s="461"/>
      <c r="H29" s="461"/>
      <c r="I29" s="460"/>
      <c r="J29" s="460"/>
      <c r="K29" s="46"/>
      <c r="L29" s="48"/>
    </row>
    <row r="30" spans="1:15" ht="18.399999999999999" customHeight="1" thickBot="1">
      <c r="A30" s="57"/>
      <c r="B30" s="58"/>
      <c r="C30" s="462"/>
      <c r="D30" s="462"/>
      <c r="E30" s="463"/>
      <c r="F30" s="463"/>
      <c r="G30" s="463"/>
      <c r="H30" s="463"/>
      <c r="I30" s="462"/>
      <c r="J30" s="462"/>
      <c r="K30" s="58"/>
      <c r="L30" s="59"/>
    </row>
    <row r="31" spans="1:15" ht="15" customHeight="1">
      <c r="A31" s="450" t="s">
        <v>96</v>
      </c>
      <c r="B31" s="451"/>
      <c r="C31" s="451"/>
      <c r="D31" s="451"/>
      <c r="E31" s="451"/>
      <c r="F31" s="451"/>
      <c r="G31" s="452"/>
      <c r="H31" s="453" t="s">
        <v>188</v>
      </c>
      <c r="I31" s="453"/>
      <c r="J31" s="453"/>
      <c r="K31" s="453"/>
      <c r="L31" s="454"/>
    </row>
    <row r="32" spans="1:15">
      <c r="A32" s="430"/>
      <c r="B32" s="431"/>
      <c r="C32" s="431"/>
      <c r="D32" s="431"/>
      <c r="E32" s="431"/>
      <c r="F32" s="431"/>
      <c r="G32" s="432"/>
      <c r="H32" s="455"/>
      <c r="I32" s="455"/>
      <c r="J32" s="455"/>
      <c r="K32" s="455"/>
      <c r="L32" s="456"/>
    </row>
    <row r="33" spans="1:12" ht="9" customHeight="1">
      <c r="A33" s="430"/>
      <c r="B33" s="431"/>
      <c r="C33" s="431"/>
      <c r="D33" s="431"/>
      <c r="E33" s="431"/>
      <c r="F33" s="431"/>
      <c r="G33" s="432"/>
      <c r="H33" s="455"/>
      <c r="I33" s="455"/>
      <c r="J33" s="455"/>
      <c r="K33" s="455"/>
      <c r="L33" s="456"/>
    </row>
    <row r="34" spans="1:12" ht="10.5" customHeight="1">
      <c r="A34" s="430"/>
      <c r="B34" s="431"/>
      <c r="C34" s="431"/>
      <c r="D34" s="431"/>
      <c r="E34" s="431"/>
      <c r="F34" s="431"/>
      <c r="G34" s="432"/>
      <c r="H34" s="455"/>
      <c r="I34" s="455"/>
      <c r="J34" s="455"/>
      <c r="K34" s="455"/>
      <c r="L34" s="456"/>
    </row>
    <row r="35" spans="1:12" ht="15.6" customHeight="1" thickBot="1">
      <c r="A35" s="433"/>
      <c r="B35" s="434"/>
      <c r="C35" s="434"/>
      <c r="D35" s="434"/>
      <c r="E35" s="434"/>
      <c r="F35" s="434"/>
      <c r="G35" s="435"/>
      <c r="H35" s="457"/>
      <c r="I35" s="457"/>
      <c r="J35" s="457"/>
      <c r="K35" s="457"/>
      <c r="L35" s="458"/>
    </row>
    <row r="36" spans="1:12" ht="15.75">
      <c r="A36" s="42"/>
      <c r="B36" s="42"/>
      <c r="C36" s="42"/>
      <c r="D36" s="42"/>
      <c r="E36" s="42"/>
      <c r="F36" s="42"/>
      <c r="G36" s="42"/>
      <c r="H36" s="42"/>
      <c r="I36" s="42"/>
      <c r="J36" s="42"/>
      <c r="K36" s="42"/>
    </row>
    <row r="37" spans="1:12" ht="15.75">
      <c r="A37" s="42"/>
      <c r="B37" s="42"/>
      <c r="C37" s="42"/>
      <c r="D37" s="42"/>
      <c r="E37" s="42"/>
      <c r="F37" s="42"/>
      <c r="G37" s="42"/>
      <c r="H37" s="42"/>
      <c r="I37" s="42"/>
      <c r="J37" s="42"/>
      <c r="K37" s="42"/>
    </row>
    <row r="38" spans="1:12" ht="15.75">
      <c r="A38" s="42"/>
      <c r="B38" s="42"/>
      <c r="C38" s="42"/>
      <c r="D38" s="42"/>
      <c r="E38" s="42"/>
      <c r="F38" s="42"/>
      <c r="G38" s="42"/>
      <c r="H38" s="42"/>
      <c r="I38" s="42"/>
      <c r="J38" s="42"/>
      <c r="K38" s="42"/>
    </row>
    <row r="39" spans="1:12" ht="15.75">
      <c r="A39" s="42"/>
      <c r="B39" s="42"/>
      <c r="C39" s="42"/>
      <c r="D39" s="42"/>
      <c r="E39" s="42"/>
      <c r="F39" s="42"/>
      <c r="G39" s="42"/>
      <c r="H39" s="42"/>
      <c r="I39" s="42"/>
      <c r="J39" s="42"/>
      <c r="K39" s="42"/>
    </row>
    <row r="40" spans="1:12" ht="15.75">
      <c r="A40" s="42"/>
      <c r="B40" s="42"/>
      <c r="C40" s="42"/>
      <c r="D40" s="42"/>
      <c r="E40" s="42"/>
      <c r="F40" s="42"/>
      <c r="G40" s="42"/>
      <c r="H40" s="42"/>
      <c r="I40" s="42"/>
      <c r="J40" s="42"/>
      <c r="K40" s="42"/>
    </row>
    <row r="41" spans="1:12" ht="15.75">
      <c r="A41" s="42"/>
      <c r="B41" s="42"/>
      <c r="C41" s="42"/>
      <c r="D41" s="42"/>
      <c r="E41" s="42"/>
      <c r="F41" s="42"/>
      <c r="G41" s="42"/>
      <c r="H41" s="42"/>
      <c r="I41" s="42"/>
      <c r="J41" s="42"/>
      <c r="K41" s="42"/>
    </row>
    <row r="42" spans="1:12" ht="15.75">
      <c r="A42" s="42"/>
      <c r="B42" s="42"/>
      <c r="C42" s="42"/>
      <c r="D42" s="42"/>
      <c r="E42" s="42"/>
      <c r="F42" s="42"/>
      <c r="G42" s="42"/>
      <c r="H42" s="42"/>
      <c r="I42" s="42"/>
      <c r="J42" s="42"/>
      <c r="K42" s="42"/>
    </row>
    <row r="43" spans="1:12" ht="15.75">
      <c r="A43" s="42"/>
      <c r="B43" s="42"/>
      <c r="C43" s="42"/>
      <c r="D43" s="42"/>
      <c r="E43" s="42"/>
      <c r="F43" s="42"/>
      <c r="G43" s="42"/>
      <c r="H43" s="42"/>
      <c r="I43" s="42"/>
      <c r="J43" s="42"/>
      <c r="K43" s="42"/>
    </row>
    <row r="44" spans="1:12" ht="15.75">
      <c r="A44" s="42"/>
      <c r="B44" s="42"/>
      <c r="C44" s="42"/>
      <c r="D44" s="42"/>
      <c r="E44" s="42"/>
      <c r="F44" s="42"/>
      <c r="G44" s="42"/>
      <c r="H44" s="42"/>
      <c r="I44" s="42"/>
      <c r="J44" s="42"/>
      <c r="K44" s="42"/>
    </row>
    <row r="45" spans="1:12" ht="15.75">
      <c r="A45" s="42"/>
      <c r="B45" s="42"/>
      <c r="C45" s="42"/>
      <c r="D45" s="42"/>
      <c r="E45" s="42"/>
      <c r="F45" s="42"/>
      <c r="G45" s="42"/>
      <c r="H45" s="42"/>
      <c r="I45" s="42"/>
      <c r="J45" s="42"/>
      <c r="K45" s="42"/>
    </row>
    <row r="46" spans="1:12" ht="15.75">
      <c r="A46" s="42"/>
      <c r="B46" s="42"/>
      <c r="C46" s="42"/>
      <c r="D46" s="42"/>
      <c r="E46" s="42"/>
      <c r="F46" s="42"/>
      <c r="G46" s="42"/>
      <c r="H46" s="42"/>
      <c r="I46" s="42"/>
      <c r="J46" s="42"/>
      <c r="K46" s="42"/>
    </row>
    <row r="47" spans="1:12" ht="15.75">
      <c r="A47" s="42"/>
      <c r="B47" s="42"/>
      <c r="C47" s="42"/>
      <c r="D47" s="42"/>
      <c r="E47" s="42"/>
      <c r="F47" s="42"/>
      <c r="G47" s="42"/>
      <c r="H47" s="42"/>
      <c r="I47" s="42"/>
      <c r="J47" s="42"/>
      <c r="K47" s="42"/>
    </row>
    <row r="48" spans="1:12" ht="15.75">
      <c r="A48" s="42"/>
      <c r="B48" s="42"/>
      <c r="C48" s="42"/>
      <c r="D48" s="42"/>
      <c r="E48" s="42"/>
      <c r="F48" s="42"/>
      <c r="G48" s="42"/>
      <c r="H48" s="42"/>
      <c r="I48" s="42"/>
      <c r="J48" s="42"/>
      <c r="K48" s="42"/>
    </row>
    <row r="49" spans="1:11" ht="15.75">
      <c r="A49" s="42"/>
      <c r="B49" s="42"/>
      <c r="C49" s="42"/>
      <c r="D49" s="42"/>
      <c r="E49" s="42"/>
      <c r="F49" s="42"/>
      <c r="G49" s="42"/>
      <c r="H49" s="42"/>
      <c r="I49" s="42"/>
      <c r="J49" s="42"/>
      <c r="K49" s="42"/>
    </row>
    <row r="50" spans="1:11" ht="15.75">
      <c r="A50" s="42"/>
      <c r="B50" s="42"/>
      <c r="C50" s="42"/>
      <c r="D50" s="42"/>
      <c r="E50" s="42"/>
      <c r="F50" s="42"/>
      <c r="G50" s="42"/>
      <c r="H50" s="42"/>
      <c r="I50" s="42"/>
      <c r="J50" s="42"/>
      <c r="K50" s="42"/>
    </row>
    <row r="51" spans="1:11" ht="15.75">
      <c r="A51" s="42"/>
      <c r="B51" s="42"/>
      <c r="C51" s="42"/>
      <c r="D51" s="42"/>
      <c r="E51" s="42"/>
      <c r="F51" s="42"/>
      <c r="G51" s="42"/>
      <c r="H51" s="42"/>
      <c r="I51" s="42"/>
      <c r="J51" s="42"/>
      <c r="K51" s="42"/>
    </row>
    <row r="52" spans="1:11" ht="15.75">
      <c r="A52" s="42"/>
      <c r="B52" s="42"/>
      <c r="C52" s="42"/>
      <c r="D52" s="42"/>
      <c r="E52" s="42"/>
      <c r="F52" s="42"/>
      <c r="G52" s="42"/>
      <c r="H52" s="42"/>
      <c r="I52" s="42"/>
      <c r="J52" s="42"/>
      <c r="K52" s="42"/>
    </row>
    <row r="53" spans="1:11" ht="15.75">
      <c r="A53" s="42"/>
      <c r="B53" s="42"/>
      <c r="C53" s="42"/>
      <c r="D53" s="42"/>
      <c r="E53" s="42"/>
      <c r="F53" s="42"/>
      <c r="G53" s="42"/>
      <c r="H53" s="42"/>
      <c r="I53" s="42"/>
      <c r="J53" s="42"/>
      <c r="K53" s="42"/>
    </row>
    <row r="54" spans="1:11" ht="15.75">
      <c r="A54" s="42"/>
      <c r="B54" s="42"/>
      <c r="C54" s="42"/>
      <c r="D54" s="42"/>
      <c r="E54" s="42"/>
      <c r="F54" s="42"/>
      <c r="G54" s="42"/>
      <c r="H54" s="42"/>
      <c r="I54" s="42"/>
      <c r="J54" s="42"/>
      <c r="K54" s="42"/>
    </row>
    <row r="55" spans="1:11" ht="15.75">
      <c r="A55" s="42"/>
      <c r="B55" s="42"/>
      <c r="C55" s="42"/>
      <c r="D55" s="42"/>
      <c r="E55" s="42"/>
      <c r="F55" s="42"/>
      <c r="G55" s="42"/>
      <c r="H55" s="42"/>
      <c r="I55" s="42"/>
      <c r="J55" s="42"/>
      <c r="K55" s="42"/>
    </row>
    <row r="56" spans="1:11" ht="15.75">
      <c r="A56" s="42"/>
      <c r="B56" s="42"/>
      <c r="C56" s="42"/>
      <c r="D56" s="42"/>
      <c r="E56" s="42"/>
      <c r="F56" s="42"/>
      <c r="G56" s="42"/>
      <c r="H56" s="42"/>
      <c r="I56" s="42"/>
      <c r="J56" s="42"/>
      <c r="K56" s="42"/>
    </row>
    <row r="57" spans="1:11" ht="15.75">
      <c r="A57" s="42"/>
      <c r="B57" s="42"/>
      <c r="C57" s="42"/>
      <c r="D57" s="42"/>
      <c r="E57" s="42"/>
      <c r="F57" s="42"/>
      <c r="G57" s="42"/>
      <c r="H57" s="42"/>
      <c r="I57" s="42"/>
      <c r="J57" s="42"/>
      <c r="K57" s="42"/>
    </row>
    <row r="58" spans="1:11" ht="15.75">
      <c r="A58" s="42"/>
      <c r="B58" s="42"/>
      <c r="C58" s="42"/>
      <c r="D58" s="42"/>
      <c r="E58" s="42"/>
      <c r="F58" s="42"/>
      <c r="G58" s="42"/>
      <c r="H58" s="42"/>
      <c r="I58" s="42"/>
      <c r="J58" s="42"/>
      <c r="K58" s="42"/>
    </row>
    <row r="59" spans="1:11" ht="15.75">
      <c r="A59" s="42"/>
      <c r="B59" s="42"/>
      <c r="C59" s="42"/>
      <c r="D59" s="42"/>
      <c r="E59" s="42"/>
      <c r="F59" s="42"/>
      <c r="G59" s="42"/>
      <c r="H59" s="42"/>
      <c r="I59" s="42"/>
      <c r="J59" s="42"/>
      <c r="K59" s="42"/>
    </row>
    <row r="60" spans="1:11" ht="15.75">
      <c r="A60" s="42"/>
      <c r="B60" s="42"/>
      <c r="C60" s="42"/>
      <c r="D60" s="42"/>
      <c r="E60" s="42"/>
      <c r="F60" s="42"/>
      <c r="G60" s="42"/>
      <c r="H60" s="42"/>
      <c r="I60" s="42"/>
      <c r="J60" s="42"/>
      <c r="K60" s="42"/>
    </row>
    <row r="61" spans="1:11" ht="15.75">
      <c r="A61" s="42"/>
      <c r="B61" s="42"/>
      <c r="C61" s="42"/>
      <c r="D61" s="42"/>
      <c r="E61" s="42"/>
      <c r="F61" s="42"/>
      <c r="G61" s="42"/>
      <c r="H61" s="42"/>
      <c r="I61" s="42"/>
      <c r="J61" s="42"/>
      <c r="K61" s="42"/>
    </row>
    <row r="62" spans="1:11" ht="15.75">
      <c r="A62" s="42"/>
      <c r="B62" s="42"/>
      <c r="C62" s="42"/>
      <c r="D62" s="42"/>
      <c r="E62" s="42"/>
      <c r="F62" s="42"/>
      <c r="G62" s="42"/>
      <c r="H62" s="42"/>
      <c r="I62" s="42"/>
      <c r="J62" s="42"/>
      <c r="K62" s="42"/>
    </row>
    <row r="63" spans="1:11" ht="15.75">
      <c r="A63" s="42"/>
      <c r="B63" s="42"/>
      <c r="C63" s="42"/>
      <c r="D63" s="42"/>
      <c r="E63" s="42"/>
      <c r="F63" s="42"/>
      <c r="G63" s="42"/>
      <c r="H63" s="42"/>
      <c r="I63" s="42"/>
      <c r="J63" s="42"/>
      <c r="K63" s="42"/>
    </row>
    <row r="64" spans="1:11" ht="15.75">
      <c r="A64" s="42"/>
      <c r="B64" s="42"/>
      <c r="C64" s="42"/>
      <c r="D64" s="42"/>
      <c r="E64" s="42"/>
      <c r="F64" s="42"/>
      <c r="G64" s="42"/>
      <c r="H64" s="42"/>
      <c r="I64" s="42"/>
      <c r="J64" s="42"/>
      <c r="K64" s="42"/>
    </row>
    <row r="65" spans="1:11" ht="15.75">
      <c r="A65" s="42"/>
      <c r="B65" s="42"/>
      <c r="C65" s="42"/>
      <c r="D65" s="42"/>
      <c r="E65" s="42"/>
      <c r="F65" s="42"/>
      <c r="G65" s="42"/>
      <c r="H65" s="42"/>
      <c r="I65" s="42"/>
      <c r="J65" s="42"/>
      <c r="K65" s="42"/>
    </row>
    <row r="66" spans="1:11" ht="15.75">
      <c r="A66" s="42"/>
      <c r="B66" s="42"/>
      <c r="C66" s="42"/>
      <c r="D66" s="42"/>
      <c r="E66" s="42"/>
      <c r="F66" s="42"/>
      <c r="G66" s="42"/>
      <c r="H66" s="42"/>
      <c r="I66" s="42"/>
      <c r="J66" s="42"/>
      <c r="K66" s="42"/>
    </row>
    <row r="67" spans="1:11" ht="15.75">
      <c r="A67" s="42"/>
      <c r="B67" s="42"/>
      <c r="C67" s="42"/>
      <c r="D67" s="42"/>
      <c r="E67" s="42"/>
      <c r="F67" s="42"/>
      <c r="G67" s="42"/>
      <c r="H67" s="42"/>
      <c r="I67" s="42"/>
      <c r="J67" s="42"/>
      <c r="K67" s="42"/>
    </row>
    <row r="68" spans="1:11" ht="15.75">
      <c r="A68" s="42"/>
      <c r="B68" s="42"/>
      <c r="C68" s="42"/>
      <c r="D68" s="42"/>
      <c r="E68" s="42"/>
      <c r="F68" s="42"/>
      <c r="G68" s="42"/>
      <c r="H68" s="42"/>
      <c r="I68" s="42"/>
      <c r="J68" s="42"/>
      <c r="K68" s="42"/>
    </row>
    <row r="69" spans="1:11" ht="15.75">
      <c r="A69" s="42"/>
      <c r="B69" s="42"/>
      <c r="C69" s="42"/>
      <c r="D69" s="42"/>
      <c r="E69" s="42"/>
      <c r="F69" s="42"/>
      <c r="G69" s="42"/>
      <c r="H69" s="42"/>
      <c r="I69" s="42"/>
      <c r="J69" s="42"/>
      <c r="K69" s="42"/>
    </row>
    <row r="70" spans="1:11" ht="15.75">
      <c r="A70" s="42"/>
      <c r="B70" s="42"/>
      <c r="C70" s="42"/>
      <c r="D70" s="42"/>
      <c r="E70" s="42"/>
      <c r="F70" s="42"/>
      <c r="G70" s="42"/>
      <c r="H70" s="42"/>
      <c r="I70" s="42"/>
      <c r="J70" s="42"/>
      <c r="K70" s="42"/>
    </row>
    <row r="71" spans="1:11" ht="15.75">
      <c r="A71" s="42"/>
      <c r="B71" s="42"/>
      <c r="C71" s="42"/>
      <c r="D71" s="42"/>
      <c r="E71" s="42"/>
      <c r="F71" s="42"/>
      <c r="G71" s="42"/>
      <c r="H71" s="42"/>
      <c r="I71" s="42"/>
      <c r="J71" s="42"/>
      <c r="K71" s="42"/>
    </row>
    <row r="72" spans="1:11" ht="15.75">
      <c r="A72" s="42"/>
      <c r="B72" s="42"/>
      <c r="C72" s="42"/>
      <c r="D72" s="42"/>
      <c r="E72" s="42"/>
      <c r="F72" s="42"/>
      <c r="G72" s="42"/>
      <c r="H72" s="42"/>
      <c r="I72" s="42"/>
      <c r="J72" s="42"/>
      <c r="K72" s="42"/>
    </row>
    <row r="73" spans="1:11" ht="15.75">
      <c r="A73" s="42"/>
      <c r="B73" s="42"/>
      <c r="C73" s="42"/>
      <c r="D73" s="42"/>
      <c r="E73" s="42"/>
      <c r="F73" s="42"/>
      <c r="G73" s="42"/>
      <c r="H73" s="42"/>
      <c r="I73" s="42"/>
      <c r="J73" s="42"/>
      <c r="K73" s="42"/>
    </row>
    <row r="74" spans="1:11" ht="15.75">
      <c r="A74" s="42"/>
      <c r="B74" s="42"/>
      <c r="C74" s="42"/>
      <c r="D74" s="42"/>
      <c r="E74" s="42"/>
      <c r="F74" s="42"/>
      <c r="G74" s="42"/>
      <c r="H74" s="42"/>
      <c r="I74" s="42"/>
      <c r="J74" s="42"/>
      <c r="K74" s="42"/>
    </row>
  </sheetData>
  <mergeCells count="103">
    <mergeCell ref="A7:D7"/>
    <mergeCell ref="E7:I7"/>
    <mergeCell ref="J7:L7"/>
    <mergeCell ref="A10:L10"/>
    <mergeCell ref="C11:D11"/>
    <mergeCell ref="E11:F11"/>
    <mergeCell ref="G11:H11"/>
    <mergeCell ref="I11:J11"/>
    <mergeCell ref="C12:D12"/>
    <mergeCell ref="E12:F12"/>
    <mergeCell ref="G12:H12"/>
    <mergeCell ref="I12:J12"/>
    <mergeCell ref="J8:L8"/>
    <mergeCell ref="A9:C9"/>
    <mergeCell ref="D9:E9"/>
    <mergeCell ref="F9:I9"/>
    <mergeCell ref="J9:K9"/>
    <mergeCell ref="C15:D15"/>
    <mergeCell ref="E15:F15"/>
    <mergeCell ref="G15:H15"/>
    <mergeCell ref="I15:J15"/>
    <mergeCell ref="C16:D16"/>
    <mergeCell ref="E16:F16"/>
    <mergeCell ref="G16:H16"/>
    <mergeCell ref="I16:J16"/>
    <mergeCell ref="C13:D13"/>
    <mergeCell ref="E13:F13"/>
    <mergeCell ref="G13:H13"/>
    <mergeCell ref="I13:J13"/>
    <mergeCell ref="C14:D14"/>
    <mergeCell ref="E14:F14"/>
    <mergeCell ref="G14:H14"/>
    <mergeCell ref="I14:J14"/>
    <mergeCell ref="C19:D19"/>
    <mergeCell ref="E19:F19"/>
    <mergeCell ref="G19:H19"/>
    <mergeCell ref="I19:J19"/>
    <mergeCell ref="C20:D20"/>
    <mergeCell ref="E20:F20"/>
    <mergeCell ref="G20:H20"/>
    <mergeCell ref="I20:J20"/>
    <mergeCell ref="C17:D17"/>
    <mergeCell ref="E17:F17"/>
    <mergeCell ref="G17:H17"/>
    <mergeCell ref="I17:J17"/>
    <mergeCell ref="C18:D18"/>
    <mergeCell ref="E18:F18"/>
    <mergeCell ref="G18:H18"/>
    <mergeCell ref="I18:J18"/>
    <mergeCell ref="C23:D23"/>
    <mergeCell ref="E23:F23"/>
    <mergeCell ref="G23:H23"/>
    <mergeCell ref="I23:J23"/>
    <mergeCell ref="C24:D24"/>
    <mergeCell ref="E24:F24"/>
    <mergeCell ref="G24:H24"/>
    <mergeCell ref="I24:J24"/>
    <mergeCell ref="C21:D21"/>
    <mergeCell ref="E21:F21"/>
    <mergeCell ref="G21:H21"/>
    <mergeCell ref="I21:J21"/>
    <mergeCell ref="C22:D22"/>
    <mergeCell ref="E22:F22"/>
    <mergeCell ref="G22:H22"/>
    <mergeCell ref="I22:J22"/>
    <mergeCell ref="G27:H27"/>
    <mergeCell ref="I27:J27"/>
    <mergeCell ref="C28:D28"/>
    <mergeCell ref="E28:F28"/>
    <mergeCell ref="G28:H28"/>
    <mergeCell ref="I28:J28"/>
    <mergeCell ref="C25:D25"/>
    <mergeCell ref="E25:F25"/>
    <mergeCell ref="G25:H25"/>
    <mergeCell ref="I25:J25"/>
    <mergeCell ref="C26:D26"/>
    <mergeCell ref="E26:F26"/>
    <mergeCell ref="G26:H26"/>
    <mergeCell ref="I26:J26"/>
    <mergeCell ref="A31:G35"/>
    <mergeCell ref="H31:L35"/>
    <mergeCell ref="A1:F2"/>
    <mergeCell ref="G1:J1"/>
    <mergeCell ref="G2:J2"/>
    <mergeCell ref="K1:O2"/>
    <mergeCell ref="A3:O4"/>
    <mergeCell ref="A5:C5"/>
    <mergeCell ref="D5:E5"/>
    <mergeCell ref="F5:G5"/>
    <mergeCell ref="H5:I5"/>
    <mergeCell ref="J5:K5"/>
    <mergeCell ref="L5:O5"/>
    <mergeCell ref="A6:O6"/>
    <mergeCell ref="C29:D29"/>
    <mergeCell ref="E29:F29"/>
    <mergeCell ref="G29:H29"/>
    <mergeCell ref="I29:J29"/>
    <mergeCell ref="C30:D30"/>
    <mergeCell ref="E30:F30"/>
    <mergeCell ref="G30:H30"/>
    <mergeCell ref="I30:J30"/>
    <mergeCell ref="C27:D27"/>
    <mergeCell ref="E27:F27"/>
  </mergeCells>
  <hyperlinks>
    <hyperlink ref="K1:O2" location="MENU!A1" tooltip="Ir al Menú" display="◄ MENU" xr:uid="{83EE95E6-8B59-40A3-80C5-B9EEA2A341C8}"/>
  </hyperlinks>
  <pageMargins left="0.7" right="0.7" top="0.75" bottom="0.75" header="0.511811023622047" footer="0.511811023622047"/>
  <pageSetup fitToHeight="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U70"/>
  <sheetViews>
    <sheetView zoomScaleNormal="100" workbookViewId="0">
      <pane ySplit="7" topLeftCell="A8" activePane="bottomLeft" state="frozen"/>
      <selection activeCell="B1" sqref="B1"/>
      <selection pane="bottomLeft" activeCell="E11" sqref="E11:F11"/>
    </sheetView>
  </sheetViews>
  <sheetFormatPr baseColWidth="10" defaultColWidth="11.42578125" defaultRowHeight="15"/>
  <cols>
    <col min="1" max="1" width="14.7109375" customWidth="1"/>
    <col min="2" max="2" width="20.28515625" customWidth="1"/>
    <col min="3" max="3" width="11.42578125" customWidth="1"/>
    <col min="4" max="4" width="7.42578125" customWidth="1"/>
    <col min="5" max="5" width="9.42578125" customWidth="1"/>
    <col min="6" max="6" width="10.5703125" customWidth="1"/>
    <col min="7" max="7" width="11.7109375" customWidth="1"/>
    <col min="8" max="8" width="11.42578125" customWidth="1"/>
    <col min="9" max="9" width="10.5703125" customWidth="1"/>
    <col min="10" max="10" width="6" customWidth="1"/>
    <col min="11" max="11" width="15.28515625" customWidth="1"/>
    <col min="12" max="12" width="18" customWidth="1"/>
    <col min="13" max="22" width="0" hidden="1" customWidth="1"/>
  </cols>
  <sheetData>
    <row r="1" spans="1:21">
      <c r="A1" s="445" t="s">
        <v>237</v>
      </c>
      <c r="B1" s="445"/>
      <c r="C1" s="445"/>
      <c r="D1" s="445"/>
      <c r="E1" s="445"/>
      <c r="F1" s="445"/>
      <c r="G1" s="445"/>
      <c r="H1" s="445"/>
      <c r="I1" s="446" t="s">
        <v>244</v>
      </c>
      <c r="J1" s="446"/>
      <c r="K1" s="446"/>
      <c r="L1" s="446"/>
      <c r="M1" s="335" t="s">
        <v>228</v>
      </c>
      <c r="N1" s="335"/>
      <c r="O1" s="335"/>
      <c r="P1" s="335"/>
      <c r="Q1" s="335"/>
      <c r="R1" s="335"/>
      <c r="S1" s="335"/>
      <c r="T1" s="335"/>
      <c r="U1" s="335"/>
    </row>
    <row r="2" spans="1:21">
      <c r="A2" s="445"/>
      <c r="B2" s="445"/>
      <c r="C2" s="445"/>
      <c r="D2" s="445"/>
      <c r="E2" s="445"/>
      <c r="F2" s="445"/>
      <c r="G2" s="445"/>
      <c r="H2" s="445"/>
      <c r="I2" s="446" t="s">
        <v>239</v>
      </c>
      <c r="J2" s="446"/>
      <c r="K2" s="446"/>
      <c r="L2" s="446"/>
      <c r="M2" s="335"/>
      <c r="N2" s="335"/>
      <c r="O2" s="335"/>
      <c r="P2" s="335"/>
      <c r="Q2" s="335"/>
      <c r="R2" s="335"/>
      <c r="S2" s="335"/>
      <c r="T2" s="335"/>
      <c r="U2" s="335"/>
    </row>
    <row r="3" spans="1:21">
      <c r="A3" s="448" t="s">
        <v>245</v>
      </c>
      <c r="B3" s="448"/>
      <c r="C3" s="448"/>
      <c r="D3" s="448"/>
      <c r="E3" s="448"/>
      <c r="F3" s="448"/>
      <c r="G3" s="448"/>
      <c r="H3" s="448"/>
      <c r="I3" s="448"/>
      <c r="J3" s="448"/>
      <c r="K3" s="448"/>
      <c r="L3" s="448"/>
      <c r="M3" s="448"/>
      <c r="N3" s="448"/>
      <c r="O3" s="448"/>
      <c r="P3" s="448"/>
      <c r="Q3" s="448"/>
      <c r="R3" s="448"/>
      <c r="S3" s="448"/>
      <c r="T3" s="448"/>
      <c r="U3" s="448"/>
    </row>
    <row r="4" spans="1:21">
      <c r="A4" s="448"/>
      <c r="B4" s="448"/>
      <c r="C4" s="448"/>
      <c r="D4" s="448"/>
      <c r="E4" s="448"/>
      <c r="F4" s="448"/>
      <c r="G4" s="448"/>
      <c r="H4" s="448"/>
      <c r="I4" s="448"/>
      <c r="J4" s="448"/>
      <c r="K4" s="448"/>
      <c r="L4" s="448"/>
      <c r="M4" s="448"/>
      <c r="N4" s="448"/>
      <c r="O4" s="448"/>
      <c r="P4" s="448"/>
      <c r="Q4" s="448"/>
      <c r="R4" s="448"/>
      <c r="S4" s="448"/>
      <c r="T4" s="448"/>
      <c r="U4" s="448"/>
    </row>
    <row r="5" spans="1:21">
      <c r="A5" s="449" t="s">
        <v>44</v>
      </c>
      <c r="B5" s="449"/>
      <c r="C5" s="449"/>
      <c r="D5" s="449"/>
      <c r="E5" s="449"/>
      <c r="F5" s="449"/>
      <c r="G5" s="449"/>
      <c r="H5" s="449"/>
      <c r="I5" s="449" t="s">
        <v>230</v>
      </c>
      <c r="J5" s="449"/>
      <c r="K5" s="449"/>
      <c r="L5" s="449"/>
      <c r="M5" s="449"/>
      <c r="N5" s="449"/>
      <c r="O5" s="449"/>
      <c r="P5" s="449"/>
      <c r="Q5" s="449" t="s">
        <v>243</v>
      </c>
      <c r="R5" s="449"/>
      <c r="S5" s="449"/>
      <c r="T5" s="449"/>
      <c r="U5" s="449"/>
    </row>
    <row r="6" spans="1:21" ht="15.75" thickBot="1">
      <c r="A6" s="279"/>
      <c r="B6" s="279"/>
      <c r="C6" s="279"/>
      <c r="D6" s="279"/>
      <c r="E6" s="279"/>
      <c r="F6" s="279"/>
      <c r="G6" s="279"/>
      <c r="H6" s="279"/>
      <c r="I6" s="279"/>
      <c r="J6" s="279"/>
      <c r="K6" s="279"/>
      <c r="L6" s="279"/>
      <c r="M6" s="279"/>
      <c r="N6" s="279"/>
      <c r="O6" s="279"/>
      <c r="P6" s="279"/>
      <c r="Q6" s="279"/>
      <c r="R6" s="279"/>
      <c r="S6" s="279"/>
      <c r="T6" s="279"/>
      <c r="U6" s="279"/>
    </row>
    <row r="7" spans="1:21" ht="15.75" thickBot="1">
      <c r="A7" s="506" t="s">
        <v>189</v>
      </c>
      <c r="B7" s="507"/>
      <c r="C7" s="507"/>
      <c r="D7" s="507"/>
      <c r="E7" s="507"/>
      <c r="F7" s="508"/>
      <c r="G7" s="509" t="s">
        <v>190</v>
      </c>
      <c r="H7" s="510"/>
      <c r="I7" s="510"/>
      <c r="J7" s="510"/>
      <c r="K7" s="510"/>
      <c r="L7" s="510"/>
      <c r="M7" s="510"/>
      <c r="N7" s="510"/>
      <c r="O7" s="511"/>
    </row>
    <row r="8" spans="1:21" ht="20.25" thickBot="1">
      <c r="A8" s="512" t="s">
        <v>77</v>
      </c>
      <c r="B8" s="513"/>
      <c r="C8" s="514"/>
      <c r="D8" s="515"/>
      <c r="E8" s="516"/>
      <c r="F8" s="517"/>
      <c r="G8" s="517"/>
      <c r="H8" s="517"/>
      <c r="I8" s="517"/>
      <c r="J8" s="517"/>
      <c r="K8" s="517"/>
      <c r="L8" s="518"/>
      <c r="M8" s="60"/>
      <c r="N8" s="60"/>
      <c r="O8" s="61"/>
    </row>
    <row r="9" spans="1:21" ht="4.9000000000000004" customHeight="1" thickBot="1">
      <c r="A9" s="138"/>
      <c r="H9" s="71"/>
      <c r="I9" s="71"/>
      <c r="J9" s="475"/>
      <c r="K9" s="475"/>
      <c r="L9" s="503"/>
      <c r="M9" s="60"/>
      <c r="N9" s="60"/>
      <c r="O9" s="61"/>
      <c r="Q9" t="s">
        <v>191</v>
      </c>
      <c r="R9">
        <v>2</v>
      </c>
      <c r="S9">
        <v>2</v>
      </c>
      <c r="T9" t="s">
        <v>174</v>
      </c>
      <c r="U9">
        <v>20</v>
      </c>
    </row>
    <row r="10" spans="1:21" s="62" customFormat="1" ht="31.5">
      <c r="A10" s="142" t="s">
        <v>192</v>
      </c>
      <c r="B10" s="142" t="s">
        <v>170</v>
      </c>
      <c r="C10" s="504" t="s">
        <v>193</v>
      </c>
      <c r="D10" s="504"/>
      <c r="E10" s="505" t="s">
        <v>171</v>
      </c>
      <c r="F10" s="505"/>
      <c r="G10" s="505" t="s">
        <v>22</v>
      </c>
      <c r="H10" s="505"/>
      <c r="I10" s="504" t="s">
        <v>21</v>
      </c>
      <c r="J10" s="504"/>
      <c r="K10" s="142" t="s">
        <v>172</v>
      </c>
      <c r="L10" s="142" t="s">
        <v>173</v>
      </c>
      <c r="N10" s="62" t="s">
        <v>174</v>
      </c>
      <c r="O10" s="62" t="s">
        <v>175</v>
      </c>
    </row>
    <row r="11" spans="1:21" ht="24.4" customHeight="1">
      <c r="A11" s="114"/>
      <c r="B11" s="114"/>
      <c r="C11" s="466"/>
      <c r="D11" s="466"/>
      <c r="E11" s="467"/>
      <c r="F11" s="467"/>
      <c r="G11" s="467"/>
      <c r="H11" s="467"/>
      <c r="I11" s="468"/>
      <c r="J11" s="466"/>
      <c r="K11" s="135"/>
      <c r="L11" s="135"/>
      <c r="N11" t="s">
        <v>176</v>
      </c>
      <c r="O11" t="s">
        <v>177</v>
      </c>
    </row>
    <row r="12" spans="1:21" ht="24.4" customHeight="1">
      <c r="A12" s="126"/>
      <c r="B12" s="126"/>
      <c r="C12" s="471"/>
      <c r="D12" s="471"/>
      <c r="E12" s="472"/>
      <c r="F12" s="472"/>
      <c r="G12" s="472"/>
      <c r="H12" s="472"/>
      <c r="I12" s="473"/>
      <c r="J12" s="471"/>
      <c r="K12" s="134"/>
      <c r="L12" s="134"/>
      <c r="N12" t="s">
        <v>178</v>
      </c>
      <c r="O12" t="s">
        <v>179</v>
      </c>
    </row>
    <row r="13" spans="1:21" s="51" customFormat="1" ht="24.4" customHeight="1">
      <c r="A13" s="143"/>
      <c r="B13" s="143"/>
      <c r="C13" s="466"/>
      <c r="D13" s="466"/>
      <c r="E13" s="467"/>
      <c r="F13" s="467"/>
      <c r="G13" s="467"/>
      <c r="H13" s="467"/>
      <c r="I13" s="468"/>
      <c r="J13" s="466"/>
      <c r="K13" s="144"/>
      <c r="L13" s="144"/>
      <c r="M13" s="44" t="s">
        <v>180</v>
      </c>
      <c r="N13" s="51" t="s">
        <v>181</v>
      </c>
      <c r="O13" s="51" t="s">
        <v>182</v>
      </c>
    </row>
    <row r="14" spans="1:21" ht="24.4" customHeight="1">
      <c r="A14" s="119"/>
      <c r="B14" s="119"/>
      <c r="C14" s="471"/>
      <c r="D14" s="471"/>
      <c r="E14" s="472"/>
      <c r="F14" s="472"/>
      <c r="G14" s="472"/>
      <c r="H14" s="472"/>
      <c r="I14" s="473"/>
      <c r="J14" s="471"/>
      <c r="K14" s="117"/>
      <c r="L14" s="117"/>
      <c r="N14">
        <v>2</v>
      </c>
      <c r="O14">
        <v>2</v>
      </c>
    </row>
    <row r="15" spans="1:21" ht="24.4" customHeight="1">
      <c r="A15" s="110"/>
      <c r="B15" s="110"/>
      <c r="C15" s="466"/>
      <c r="D15" s="466"/>
      <c r="E15" s="467"/>
      <c r="F15" s="467"/>
      <c r="G15" s="467"/>
      <c r="H15" s="467"/>
      <c r="I15" s="468"/>
      <c r="J15" s="466"/>
      <c r="K15" s="108"/>
      <c r="L15" s="108"/>
      <c r="M15" t="s">
        <v>183</v>
      </c>
      <c r="N15" t="s">
        <v>184</v>
      </c>
      <c r="O15" t="s">
        <v>185</v>
      </c>
    </row>
    <row r="16" spans="1:21" s="44" customFormat="1" ht="24.4" customHeight="1">
      <c r="A16" s="119"/>
      <c r="B16" s="119"/>
      <c r="C16" s="471"/>
      <c r="D16" s="471"/>
      <c r="E16" s="472"/>
      <c r="F16" s="472"/>
      <c r="G16" s="472"/>
      <c r="H16" s="472"/>
      <c r="I16" s="473"/>
      <c r="J16" s="471"/>
      <c r="K16" s="117"/>
      <c r="L16" s="117"/>
      <c r="N16" s="44" t="s">
        <v>174</v>
      </c>
      <c r="O16" s="44" t="s">
        <v>186</v>
      </c>
    </row>
    <row r="17" spans="1:14" ht="24.4" customHeight="1">
      <c r="A17" s="145"/>
      <c r="B17" s="145"/>
      <c r="C17" s="466"/>
      <c r="D17" s="466"/>
      <c r="E17" s="467"/>
      <c r="F17" s="467"/>
      <c r="G17" s="467"/>
      <c r="H17" s="467"/>
      <c r="I17" s="468"/>
      <c r="J17" s="466"/>
      <c r="K17" s="108"/>
      <c r="L17" s="108"/>
      <c r="M17" t="s">
        <v>187</v>
      </c>
      <c r="N17">
        <v>2020</v>
      </c>
    </row>
    <row r="18" spans="1:14" ht="24.4" customHeight="1">
      <c r="A18" s="119"/>
      <c r="B18" s="119"/>
      <c r="C18" s="471"/>
      <c r="D18" s="471"/>
      <c r="E18" s="472"/>
      <c r="F18" s="472"/>
      <c r="G18" s="472"/>
      <c r="H18" s="472"/>
      <c r="I18" s="473"/>
      <c r="J18" s="471"/>
      <c r="K18" s="117"/>
      <c r="L18" s="117"/>
    </row>
    <row r="19" spans="1:14" ht="24.4" customHeight="1">
      <c r="A19" s="110"/>
      <c r="B19" s="110"/>
      <c r="C19" s="466"/>
      <c r="D19" s="466"/>
      <c r="E19" s="467"/>
      <c r="F19" s="467"/>
      <c r="G19" s="467"/>
      <c r="H19" s="467"/>
      <c r="I19" s="468"/>
      <c r="J19" s="466"/>
      <c r="K19" s="108"/>
      <c r="L19" s="108"/>
    </row>
    <row r="20" spans="1:14" ht="24.4" customHeight="1">
      <c r="A20" s="119"/>
      <c r="B20" s="119"/>
      <c r="C20" s="471"/>
      <c r="D20" s="471"/>
      <c r="E20" s="472"/>
      <c r="F20" s="472"/>
      <c r="G20" s="472"/>
      <c r="H20" s="472"/>
      <c r="I20" s="473"/>
      <c r="J20" s="471"/>
      <c r="K20" s="117"/>
      <c r="L20" s="117"/>
    </row>
    <row r="21" spans="1:14" ht="24.4" customHeight="1">
      <c r="A21" s="145"/>
      <c r="B21" s="145"/>
      <c r="C21" s="466"/>
      <c r="D21" s="466"/>
      <c r="E21" s="467"/>
      <c r="F21" s="467"/>
      <c r="G21" s="467"/>
      <c r="H21" s="467"/>
      <c r="I21" s="468"/>
      <c r="J21" s="466"/>
      <c r="K21" s="108"/>
      <c r="L21" s="108"/>
    </row>
    <row r="22" spans="1:14" ht="24.4" customHeight="1">
      <c r="A22" s="119"/>
      <c r="B22" s="119"/>
      <c r="C22" s="471"/>
      <c r="D22" s="471"/>
      <c r="E22" s="472"/>
      <c r="F22" s="472"/>
      <c r="G22" s="472"/>
      <c r="H22" s="472"/>
      <c r="I22" s="473"/>
      <c r="J22" s="471"/>
      <c r="K22" s="117"/>
      <c r="L22" s="117"/>
    </row>
    <row r="23" spans="1:14" ht="24.4" customHeight="1">
      <c r="A23" s="110"/>
      <c r="B23" s="110"/>
      <c r="C23" s="466"/>
      <c r="D23" s="466"/>
      <c r="E23" s="467"/>
      <c r="F23" s="467"/>
      <c r="G23" s="467"/>
      <c r="H23" s="467"/>
      <c r="I23" s="468"/>
      <c r="J23" s="466"/>
      <c r="K23" s="108"/>
      <c r="L23" s="108"/>
    </row>
    <row r="24" spans="1:14" ht="24.4" customHeight="1">
      <c r="A24" s="119"/>
      <c r="B24" s="119"/>
      <c r="C24" s="471"/>
      <c r="D24" s="471"/>
      <c r="E24" s="472"/>
      <c r="F24" s="472"/>
      <c r="G24" s="472"/>
      <c r="H24" s="472"/>
      <c r="I24" s="473"/>
      <c r="J24" s="471"/>
      <c r="K24" s="117"/>
      <c r="L24" s="117"/>
    </row>
    <row r="25" spans="1:14" ht="24.4" customHeight="1">
      <c r="A25" s="145"/>
      <c r="B25" s="145"/>
      <c r="C25" s="466"/>
      <c r="D25" s="466"/>
      <c r="E25" s="467"/>
      <c r="F25" s="467"/>
      <c r="G25" s="467"/>
      <c r="H25" s="467"/>
      <c r="I25" s="468"/>
      <c r="J25" s="466"/>
      <c r="K25" s="108"/>
      <c r="L25" s="108"/>
    </row>
    <row r="26" spans="1:14" ht="24.4" customHeight="1" thickBot="1">
      <c r="A26" s="139"/>
      <c r="B26" s="140"/>
      <c r="C26" s="501"/>
      <c r="D26" s="501"/>
      <c r="E26" s="502"/>
      <c r="F26" s="502"/>
      <c r="G26" s="502"/>
      <c r="H26" s="502"/>
      <c r="I26" s="501"/>
      <c r="J26" s="501"/>
      <c r="K26" s="140"/>
      <c r="L26" s="141"/>
    </row>
    <row r="27" spans="1:14" ht="19.899999999999999" customHeight="1">
      <c r="A27" s="450" t="s">
        <v>96</v>
      </c>
      <c r="B27" s="451"/>
      <c r="C27" s="451"/>
      <c r="D27" s="451"/>
      <c r="E27" s="451"/>
      <c r="F27" s="451"/>
      <c r="G27" s="452"/>
      <c r="H27" s="495" t="s">
        <v>188</v>
      </c>
      <c r="I27" s="495"/>
      <c r="J27" s="495"/>
      <c r="K27" s="495"/>
      <c r="L27" s="496"/>
    </row>
    <row r="28" spans="1:14" ht="19.899999999999999" customHeight="1">
      <c r="A28" s="430"/>
      <c r="B28" s="431"/>
      <c r="C28" s="431"/>
      <c r="D28" s="431"/>
      <c r="E28" s="431"/>
      <c r="F28" s="431"/>
      <c r="G28" s="432"/>
      <c r="H28" s="497"/>
      <c r="I28" s="497"/>
      <c r="J28" s="497"/>
      <c r="K28" s="497"/>
      <c r="L28" s="498"/>
    </row>
    <row r="29" spans="1:14" ht="19.899999999999999" customHeight="1">
      <c r="A29" s="430"/>
      <c r="B29" s="431"/>
      <c r="C29" s="431"/>
      <c r="D29" s="431"/>
      <c r="E29" s="431"/>
      <c r="F29" s="431"/>
      <c r="G29" s="432"/>
      <c r="H29" s="497"/>
      <c r="I29" s="497"/>
      <c r="J29" s="497"/>
      <c r="K29" s="497"/>
      <c r="L29" s="498"/>
    </row>
    <row r="30" spans="1:14" ht="19.899999999999999" customHeight="1">
      <c r="A30" s="430"/>
      <c r="B30" s="431"/>
      <c r="C30" s="431"/>
      <c r="D30" s="431"/>
      <c r="E30" s="431"/>
      <c r="F30" s="431"/>
      <c r="G30" s="432"/>
      <c r="H30" s="497"/>
      <c r="I30" s="497"/>
      <c r="J30" s="497"/>
      <c r="K30" s="497"/>
      <c r="L30" s="498"/>
    </row>
    <row r="31" spans="1:14" ht="19.899999999999999" customHeight="1" thickBot="1">
      <c r="A31" s="433"/>
      <c r="B31" s="434"/>
      <c r="C31" s="434"/>
      <c r="D31" s="434"/>
      <c r="E31" s="434"/>
      <c r="F31" s="434"/>
      <c r="G31" s="435"/>
      <c r="H31" s="499"/>
      <c r="I31" s="499"/>
      <c r="J31" s="499"/>
      <c r="K31" s="499"/>
      <c r="L31" s="500"/>
    </row>
    <row r="32" spans="1:14" ht="15.75">
      <c r="A32" s="42"/>
      <c r="B32" s="42"/>
      <c r="C32" s="42"/>
      <c r="D32" s="42"/>
      <c r="E32" s="42"/>
      <c r="F32" s="42"/>
      <c r="G32" s="42"/>
      <c r="H32" s="42"/>
      <c r="I32" s="42"/>
      <c r="J32" s="42"/>
      <c r="K32" s="42"/>
    </row>
    <row r="33" spans="1:11" ht="15.75">
      <c r="A33" s="42"/>
      <c r="B33" s="42"/>
      <c r="C33" s="42"/>
      <c r="D33" s="42"/>
      <c r="E33" s="42"/>
      <c r="F33" s="42"/>
      <c r="G33" s="42"/>
      <c r="H33" s="42"/>
      <c r="I33" s="42"/>
      <c r="J33" s="42"/>
      <c r="K33" s="42"/>
    </row>
    <row r="34" spans="1:11" ht="15.75">
      <c r="A34" s="42"/>
      <c r="B34" s="42"/>
      <c r="C34" s="42"/>
      <c r="D34" s="42"/>
      <c r="E34" s="42"/>
      <c r="F34" s="42"/>
      <c r="G34" s="42"/>
      <c r="H34" s="42"/>
      <c r="I34" s="42"/>
      <c r="J34" s="42"/>
      <c r="K34" s="42"/>
    </row>
    <row r="35" spans="1:11" ht="15.75">
      <c r="A35" s="42"/>
      <c r="B35" s="42"/>
      <c r="C35" s="42"/>
      <c r="D35" s="42"/>
      <c r="E35" s="42"/>
      <c r="F35" s="42"/>
      <c r="G35" s="42"/>
      <c r="H35" s="42"/>
      <c r="I35" s="42"/>
      <c r="J35" s="42"/>
      <c r="K35" s="42"/>
    </row>
    <row r="36" spans="1:11" ht="15.75">
      <c r="A36" s="42"/>
      <c r="B36" s="42"/>
      <c r="C36" s="42"/>
      <c r="D36" s="42"/>
      <c r="E36" s="42"/>
      <c r="F36" s="42"/>
      <c r="G36" s="42"/>
      <c r="H36" s="42"/>
      <c r="I36" s="42"/>
      <c r="J36" s="42"/>
      <c r="K36" s="42"/>
    </row>
    <row r="37" spans="1:11" ht="15.75">
      <c r="A37" s="42"/>
      <c r="B37" s="42"/>
      <c r="C37" s="42"/>
      <c r="D37" s="42"/>
      <c r="E37" s="42"/>
      <c r="F37" s="42"/>
      <c r="G37" s="42"/>
      <c r="H37" s="42"/>
      <c r="I37" s="42"/>
      <c r="J37" s="42"/>
      <c r="K37" s="42"/>
    </row>
    <row r="38" spans="1:11" ht="15.75">
      <c r="A38" s="42"/>
      <c r="B38" s="42"/>
      <c r="C38" s="42"/>
      <c r="D38" s="42"/>
      <c r="E38" s="42"/>
      <c r="F38" s="42"/>
      <c r="G38" s="42"/>
      <c r="H38" s="42"/>
      <c r="I38" s="42"/>
      <c r="J38" s="42"/>
      <c r="K38" s="42"/>
    </row>
    <row r="39" spans="1:11" ht="15.75">
      <c r="A39" s="42"/>
      <c r="B39" s="42"/>
      <c r="C39" s="42"/>
      <c r="D39" s="42"/>
      <c r="E39" s="42"/>
      <c r="F39" s="42"/>
      <c r="G39" s="42"/>
      <c r="H39" s="42"/>
      <c r="I39" s="42"/>
      <c r="J39" s="42"/>
      <c r="K39" s="42"/>
    </row>
    <row r="40" spans="1:11" ht="15.75">
      <c r="A40" s="42"/>
      <c r="B40" s="42"/>
      <c r="C40" s="42"/>
      <c r="D40" s="42"/>
      <c r="E40" s="42"/>
      <c r="F40" s="42"/>
      <c r="G40" s="42"/>
      <c r="H40" s="42"/>
      <c r="I40" s="42"/>
      <c r="J40" s="42"/>
      <c r="K40" s="42"/>
    </row>
    <row r="41" spans="1:11" ht="15.75">
      <c r="A41" s="42"/>
      <c r="B41" s="42"/>
      <c r="C41" s="42"/>
      <c r="D41" s="42"/>
      <c r="E41" s="42"/>
      <c r="F41" s="42"/>
      <c r="G41" s="42"/>
      <c r="H41" s="42"/>
      <c r="I41" s="42"/>
      <c r="J41" s="42"/>
      <c r="K41" s="42"/>
    </row>
    <row r="42" spans="1:11" ht="15.75">
      <c r="A42" s="42"/>
      <c r="B42" s="42"/>
      <c r="C42" s="42"/>
      <c r="D42" s="42"/>
      <c r="E42" s="42"/>
      <c r="F42" s="42"/>
      <c r="G42" s="42"/>
      <c r="H42" s="42"/>
      <c r="I42" s="42"/>
      <c r="J42" s="42"/>
      <c r="K42" s="42"/>
    </row>
    <row r="43" spans="1:11" ht="15.75">
      <c r="A43" s="42"/>
      <c r="B43" s="42"/>
      <c r="C43" s="42"/>
      <c r="D43" s="42"/>
      <c r="E43" s="42"/>
      <c r="F43" s="42"/>
      <c r="G43" s="42"/>
      <c r="H43" s="42"/>
      <c r="I43" s="42"/>
      <c r="J43" s="42"/>
      <c r="K43" s="42"/>
    </row>
    <row r="44" spans="1:11" ht="15.75">
      <c r="A44" s="42"/>
      <c r="B44" s="42"/>
      <c r="C44" s="42"/>
      <c r="D44" s="42"/>
      <c r="E44" s="42"/>
      <c r="F44" s="42"/>
      <c r="G44" s="42"/>
      <c r="H44" s="42"/>
      <c r="I44" s="42"/>
      <c r="J44" s="42"/>
      <c r="K44" s="42"/>
    </row>
    <row r="45" spans="1:11" ht="15.75">
      <c r="A45" s="42"/>
      <c r="B45" s="42"/>
      <c r="C45" s="42"/>
      <c r="D45" s="42"/>
      <c r="E45" s="42"/>
      <c r="F45" s="42"/>
      <c r="G45" s="42"/>
      <c r="H45" s="42"/>
      <c r="I45" s="42"/>
      <c r="J45" s="42"/>
      <c r="K45" s="42"/>
    </row>
    <row r="46" spans="1:11" ht="15.75">
      <c r="A46" s="42"/>
      <c r="B46" s="42"/>
      <c r="C46" s="42"/>
      <c r="D46" s="42"/>
      <c r="E46" s="42"/>
      <c r="F46" s="42"/>
      <c r="G46" s="42"/>
      <c r="H46" s="42"/>
      <c r="I46" s="42"/>
      <c r="J46" s="42"/>
      <c r="K46" s="42"/>
    </row>
    <row r="47" spans="1:11" ht="15.75">
      <c r="A47" s="42"/>
      <c r="B47" s="42"/>
      <c r="C47" s="42"/>
      <c r="D47" s="42"/>
      <c r="E47" s="42"/>
      <c r="F47" s="42"/>
      <c r="G47" s="42"/>
      <c r="H47" s="42"/>
      <c r="I47" s="42"/>
      <c r="J47" s="42"/>
      <c r="K47" s="42"/>
    </row>
    <row r="48" spans="1:11" ht="15.75">
      <c r="A48" s="42"/>
      <c r="B48" s="42"/>
      <c r="C48" s="42"/>
      <c r="D48" s="42"/>
      <c r="E48" s="42"/>
      <c r="F48" s="42"/>
      <c r="G48" s="42"/>
      <c r="H48" s="42"/>
      <c r="I48" s="42"/>
      <c r="J48" s="42"/>
      <c r="K48" s="42"/>
    </row>
    <row r="49" spans="1:11" ht="15.75">
      <c r="A49" s="42"/>
      <c r="B49" s="42"/>
      <c r="C49" s="42"/>
      <c r="D49" s="42"/>
      <c r="E49" s="42"/>
      <c r="F49" s="42"/>
      <c r="G49" s="42"/>
      <c r="H49" s="42"/>
      <c r="I49" s="42"/>
      <c r="J49" s="42"/>
      <c r="K49" s="42"/>
    </row>
    <row r="50" spans="1:11" ht="15.75">
      <c r="A50" s="42"/>
      <c r="B50" s="42"/>
      <c r="C50" s="42"/>
      <c r="D50" s="42"/>
      <c r="E50" s="42"/>
      <c r="F50" s="42"/>
      <c r="G50" s="42"/>
      <c r="H50" s="42"/>
      <c r="I50" s="42"/>
      <c r="J50" s="42"/>
      <c r="K50" s="42"/>
    </row>
    <row r="51" spans="1:11" ht="15.75">
      <c r="A51" s="42"/>
      <c r="B51" s="42"/>
      <c r="C51" s="42"/>
      <c r="D51" s="42"/>
      <c r="E51" s="42"/>
      <c r="F51" s="42"/>
      <c r="G51" s="42"/>
      <c r="H51" s="42"/>
      <c r="I51" s="42"/>
      <c r="J51" s="42"/>
      <c r="K51" s="42"/>
    </row>
    <row r="52" spans="1:11" ht="15.75">
      <c r="A52" s="42"/>
      <c r="B52" s="42"/>
      <c r="C52" s="42"/>
      <c r="D52" s="42"/>
      <c r="E52" s="42"/>
      <c r="F52" s="42"/>
      <c r="G52" s="42"/>
      <c r="H52" s="42"/>
      <c r="I52" s="42"/>
      <c r="J52" s="42"/>
      <c r="K52" s="42"/>
    </row>
    <row r="53" spans="1:11" ht="15.75">
      <c r="A53" s="42"/>
      <c r="B53" s="42"/>
      <c r="C53" s="42"/>
      <c r="D53" s="42"/>
      <c r="E53" s="42"/>
      <c r="F53" s="42"/>
      <c r="G53" s="42"/>
      <c r="H53" s="42"/>
      <c r="I53" s="42"/>
      <c r="J53" s="42"/>
      <c r="K53" s="42"/>
    </row>
    <row r="54" spans="1:11" ht="15.75">
      <c r="A54" s="42"/>
      <c r="B54" s="42"/>
      <c r="C54" s="42"/>
      <c r="D54" s="42"/>
      <c r="E54" s="42"/>
      <c r="F54" s="42"/>
      <c r="G54" s="42"/>
      <c r="H54" s="42"/>
      <c r="I54" s="42"/>
      <c r="J54" s="42"/>
      <c r="K54" s="42"/>
    </row>
    <row r="55" spans="1:11" ht="15.75">
      <c r="A55" s="42"/>
      <c r="B55" s="42"/>
      <c r="C55" s="42"/>
      <c r="D55" s="42"/>
      <c r="E55" s="42"/>
      <c r="F55" s="42"/>
      <c r="G55" s="42"/>
      <c r="H55" s="42"/>
      <c r="I55" s="42"/>
      <c r="J55" s="42"/>
      <c r="K55" s="42"/>
    </row>
    <row r="56" spans="1:11" ht="15.75">
      <c r="A56" s="42"/>
      <c r="B56" s="42"/>
      <c r="C56" s="42"/>
      <c r="D56" s="42"/>
      <c r="E56" s="42"/>
      <c r="F56" s="42"/>
      <c r="G56" s="42"/>
      <c r="H56" s="42"/>
      <c r="I56" s="42"/>
      <c r="J56" s="42"/>
      <c r="K56" s="42"/>
    </row>
    <row r="57" spans="1:11" ht="15.75">
      <c r="A57" s="42"/>
      <c r="B57" s="42"/>
      <c r="C57" s="42"/>
      <c r="D57" s="42"/>
      <c r="E57" s="42"/>
      <c r="F57" s="42"/>
      <c r="G57" s="42"/>
      <c r="H57" s="42"/>
      <c r="I57" s="42"/>
      <c r="J57" s="42"/>
      <c r="K57" s="42"/>
    </row>
    <row r="58" spans="1:11" ht="15.75">
      <c r="A58" s="42"/>
      <c r="B58" s="42"/>
      <c r="C58" s="42"/>
      <c r="D58" s="42"/>
      <c r="E58" s="42"/>
      <c r="F58" s="42"/>
      <c r="G58" s="42"/>
      <c r="H58" s="42"/>
      <c r="I58" s="42"/>
      <c r="J58" s="42"/>
      <c r="K58" s="42"/>
    </row>
    <row r="59" spans="1:11" ht="15.75">
      <c r="A59" s="42"/>
      <c r="B59" s="42"/>
      <c r="C59" s="42"/>
      <c r="D59" s="42"/>
      <c r="E59" s="42"/>
      <c r="F59" s="42"/>
      <c r="G59" s="42"/>
      <c r="H59" s="42"/>
      <c r="I59" s="42"/>
      <c r="J59" s="42"/>
      <c r="K59" s="42"/>
    </row>
    <row r="60" spans="1:11" ht="15.75">
      <c r="A60" s="42"/>
      <c r="B60" s="42"/>
      <c r="C60" s="42"/>
      <c r="D60" s="42"/>
      <c r="E60" s="42"/>
      <c r="F60" s="42"/>
      <c r="G60" s="42"/>
      <c r="H60" s="42"/>
      <c r="I60" s="42"/>
      <c r="J60" s="42"/>
      <c r="K60" s="42"/>
    </row>
    <row r="61" spans="1:11" ht="15.75">
      <c r="A61" s="42"/>
      <c r="B61" s="42"/>
      <c r="C61" s="42"/>
      <c r="D61" s="42"/>
      <c r="E61" s="42"/>
      <c r="F61" s="42"/>
      <c r="G61" s="42"/>
      <c r="H61" s="42"/>
      <c r="I61" s="42"/>
      <c r="J61" s="42"/>
      <c r="K61" s="42"/>
    </row>
    <row r="62" spans="1:11" ht="15.75">
      <c r="A62" s="42"/>
      <c r="B62" s="42"/>
      <c r="C62" s="42"/>
      <c r="D62" s="42"/>
      <c r="E62" s="42"/>
      <c r="F62" s="42"/>
      <c r="G62" s="42"/>
      <c r="H62" s="42"/>
      <c r="I62" s="42"/>
      <c r="J62" s="42"/>
      <c r="K62" s="42"/>
    </row>
    <row r="63" spans="1:11" ht="15.75">
      <c r="A63" s="42"/>
      <c r="B63" s="42"/>
      <c r="C63" s="42"/>
      <c r="D63" s="42"/>
      <c r="E63" s="42"/>
      <c r="F63" s="42"/>
      <c r="G63" s="42"/>
      <c r="H63" s="42"/>
      <c r="I63" s="42"/>
      <c r="J63" s="42"/>
      <c r="K63" s="42"/>
    </row>
    <row r="64" spans="1:11" ht="15.75">
      <c r="A64" s="42"/>
      <c r="B64" s="42"/>
      <c r="C64" s="42"/>
      <c r="D64" s="42"/>
      <c r="E64" s="42"/>
      <c r="F64" s="42"/>
      <c r="G64" s="42"/>
      <c r="H64" s="42"/>
      <c r="I64" s="42"/>
      <c r="J64" s="42"/>
      <c r="K64" s="42"/>
    </row>
    <row r="65" spans="1:11" ht="15.75">
      <c r="A65" s="42"/>
      <c r="B65" s="42"/>
      <c r="C65" s="42"/>
      <c r="D65" s="42"/>
      <c r="E65" s="42"/>
      <c r="F65" s="42"/>
      <c r="G65" s="42"/>
      <c r="H65" s="42"/>
      <c r="I65" s="42"/>
      <c r="J65" s="42"/>
      <c r="K65" s="42"/>
    </row>
    <row r="66" spans="1:11" ht="15.75">
      <c r="A66" s="42"/>
      <c r="B66" s="42"/>
      <c r="C66" s="42"/>
      <c r="D66" s="42"/>
      <c r="E66" s="42"/>
      <c r="F66" s="42"/>
      <c r="G66" s="42"/>
      <c r="H66" s="42"/>
      <c r="I66" s="42"/>
      <c r="J66" s="42"/>
      <c r="K66" s="42"/>
    </row>
    <row r="67" spans="1:11" ht="15.75">
      <c r="A67" s="42"/>
      <c r="B67" s="42"/>
      <c r="C67" s="42"/>
      <c r="D67" s="42"/>
      <c r="E67" s="42"/>
      <c r="F67" s="42"/>
      <c r="G67" s="42"/>
      <c r="H67" s="42"/>
      <c r="I67" s="42"/>
      <c r="J67" s="42"/>
      <c r="K67" s="42"/>
    </row>
    <row r="68" spans="1:11" ht="15.75">
      <c r="A68" s="42"/>
      <c r="B68" s="42"/>
      <c r="C68" s="42"/>
      <c r="D68" s="42"/>
      <c r="E68" s="42"/>
      <c r="F68" s="42"/>
      <c r="G68" s="42"/>
      <c r="H68" s="42"/>
      <c r="I68" s="42"/>
      <c r="J68" s="42"/>
      <c r="K68" s="42"/>
    </row>
    <row r="69" spans="1:11" ht="15.75">
      <c r="A69" s="42"/>
      <c r="B69" s="42"/>
      <c r="C69" s="42"/>
      <c r="D69" s="42"/>
      <c r="E69" s="42"/>
      <c r="F69" s="42"/>
      <c r="G69" s="42"/>
      <c r="H69" s="42"/>
      <c r="I69" s="42"/>
      <c r="J69" s="42"/>
      <c r="K69" s="42"/>
    </row>
    <row r="70" spans="1:11" ht="15.75">
      <c r="A70" s="42"/>
      <c r="B70" s="42"/>
      <c r="C70" s="42"/>
      <c r="D70" s="42"/>
      <c r="E70" s="42"/>
      <c r="F70" s="42"/>
      <c r="G70" s="42"/>
      <c r="H70" s="42"/>
      <c r="I70" s="42"/>
      <c r="J70" s="42"/>
      <c r="K70" s="42"/>
    </row>
  </sheetData>
  <mergeCells count="88">
    <mergeCell ref="A7:F7"/>
    <mergeCell ref="G7:O7"/>
    <mergeCell ref="A8:B8"/>
    <mergeCell ref="C8:D8"/>
    <mergeCell ref="E8:L8"/>
    <mergeCell ref="J9:L9"/>
    <mergeCell ref="C10:D10"/>
    <mergeCell ref="E10:F10"/>
    <mergeCell ref="G10:H10"/>
    <mergeCell ref="I10:J10"/>
    <mergeCell ref="C11:D11"/>
    <mergeCell ref="E11:F11"/>
    <mergeCell ref="G11:H11"/>
    <mergeCell ref="I11:J11"/>
    <mergeCell ref="C12:D12"/>
    <mergeCell ref="E12:F12"/>
    <mergeCell ref="G12:H12"/>
    <mergeCell ref="I12:J12"/>
    <mergeCell ref="C13:D13"/>
    <mergeCell ref="E13:F13"/>
    <mergeCell ref="G13:H13"/>
    <mergeCell ref="I13:J13"/>
    <mergeCell ref="C14:D14"/>
    <mergeCell ref="E14:F14"/>
    <mergeCell ref="G14:H14"/>
    <mergeCell ref="I14:J14"/>
    <mergeCell ref="C15:D15"/>
    <mergeCell ref="E15:F15"/>
    <mergeCell ref="G15:H15"/>
    <mergeCell ref="I15:J15"/>
    <mergeCell ref="C16:D16"/>
    <mergeCell ref="E16:F16"/>
    <mergeCell ref="G16:H16"/>
    <mergeCell ref="I16:J16"/>
    <mergeCell ref="C17:D17"/>
    <mergeCell ref="E17:F17"/>
    <mergeCell ref="G17:H17"/>
    <mergeCell ref="I17:J17"/>
    <mergeCell ref="C18:D18"/>
    <mergeCell ref="E18:F18"/>
    <mergeCell ref="G18:H18"/>
    <mergeCell ref="I18:J18"/>
    <mergeCell ref="C19:D19"/>
    <mergeCell ref="E19:F19"/>
    <mergeCell ref="G19:H19"/>
    <mergeCell ref="I19:J19"/>
    <mergeCell ref="C20:D20"/>
    <mergeCell ref="E20:F20"/>
    <mergeCell ref="G20:H20"/>
    <mergeCell ref="I20:J20"/>
    <mergeCell ref="C21:D21"/>
    <mergeCell ref="E21:F21"/>
    <mergeCell ref="G21:H21"/>
    <mergeCell ref="I21:J21"/>
    <mergeCell ref="C22:D22"/>
    <mergeCell ref="E22:F22"/>
    <mergeCell ref="G22:H22"/>
    <mergeCell ref="I22:J22"/>
    <mergeCell ref="G23:H23"/>
    <mergeCell ref="I23:J23"/>
    <mergeCell ref="C24:D24"/>
    <mergeCell ref="E24:F24"/>
    <mergeCell ref="G24:H24"/>
    <mergeCell ref="I24:J24"/>
    <mergeCell ref="A27:G31"/>
    <mergeCell ref="H27:L31"/>
    <mergeCell ref="A1:H2"/>
    <mergeCell ref="I1:L1"/>
    <mergeCell ref="I2:L2"/>
    <mergeCell ref="A6:U6"/>
    <mergeCell ref="C25:D25"/>
    <mergeCell ref="E25:F25"/>
    <mergeCell ref="G25:H25"/>
    <mergeCell ref="I25:J25"/>
    <mergeCell ref="C26:D26"/>
    <mergeCell ref="E26:F26"/>
    <mergeCell ref="G26:H26"/>
    <mergeCell ref="I26:J26"/>
    <mergeCell ref="C23:D23"/>
    <mergeCell ref="E23:F23"/>
    <mergeCell ref="M1:U2"/>
    <mergeCell ref="A3:U4"/>
    <mergeCell ref="A5:D5"/>
    <mergeCell ref="E5:H5"/>
    <mergeCell ref="I5:L5"/>
    <mergeCell ref="M5:P5"/>
    <mergeCell ref="Q5:R5"/>
    <mergeCell ref="S5:U5"/>
  </mergeCells>
  <hyperlinks>
    <hyperlink ref="M1:U2" location="MENU!A1" tooltip="Ir al Menú" display="◄ MENU" xr:uid="{9A3503D4-1D5D-492C-9CE7-38ED2014E21F}"/>
  </hyperlinks>
  <pageMargins left="0.70833333333333304" right="0.70833333333333304" top="0.74791666666666701" bottom="0.74791666666666701" header="0.511811023622047" footer="0.511811023622047"/>
  <pageSetup fitToHeight="0"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G24"/>
  <sheetViews>
    <sheetView zoomScaleNormal="100" workbookViewId="0">
      <pane ySplit="8" topLeftCell="A9" activePane="bottomLeft" state="frozen"/>
      <selection pane="bottomLeft" activeCell="A3" sqref="A3:F4"/>
    </sheetView>
  </sheetViews>
  <sheetFormatPr baseColWidth="10" defaultColWidth="11.5703125" defaultRowHeight="14.25"/>
  <cols>
    <col min="1" max="1" width="3.42578125" style="4" customWidth="1"/>
    <col min="2" max="2" width="4.28515625" style="4" customWidth="1"/>
    <col min="3" max="3" width="32" style="4" customWidth="1"/>
    <col min="4" max="4" width="19.42578125" style="4" customWidth="1"/>
    <col min="5" max="5" width="19.85546875" style="4" customWidth="1"/>
    <col min="6" max="6" width="23.42578125" style="4" customWidth="1"/>
    <col min="7" max="7" width="2.85546875" style="4" customWidth="1"/>
    <col min="8" max="16384" width="11.5703125" style="4"/>
  </cols>
  <sheetData>
    <row r="1" spans="1:7">
      <c r="A1" s="520" t="s">
        <v>237</v>
      </c>
      <c r="B1" s="520"/>
      <c r="C1" s="520"/>
      <c r="D1" s="521" t="s">
        <v>246</v>
      </c>
      <c r="E1" s="521"/>
      <c r="F1" s="519" t="s">
        <v>228</v>
      </c>
    </row>
    <row r="2" spans="1:7">
      <c r="A2" s="520"/>
      <c r="B2" s="520"/>
      <c r="C2" s="520"/>
      <c r="D2" s="521" t="s">
        <v>247</v>
      </c>
      <c r="E2" s="521"/>
      <c r="F2" s="519"/>
    </row>
    <row r="3" spans="1:7">
      <c r="A3" s="522" t="s">
        <v>248</v>
      </c>
      <c r="B3" s="522"/>
      <c r="C3" s="522"/>
      <c r="D3" s="522"/>
      <c r="E3" s="522"/>
      <c r="F3" s="522"/>
    </row>
    <row r="4" spans="1:7">
      <c r="A4" s="522"/>
      <c r="B4" s="522"/>
      <c r="C4" s="522"/>
      <c r="D4" s="522"/>
      <c r="E4" s="522"/>
      <c r="F4" s="522"/>
    </row>
    <row r="5" spans="1:7" ht="14.25" customHeight="1">
      <c r="A5" s="278" t="s">
        <v>230</v>
      </c>
      <c r="B5" s="278"/>
      <c r="C5" s="278"/>
      <c r="D5" s="278"/>
      <c r="E5" s="147" t="s">
        <v>249</v>
      </c>
      <c r="F5" s="147"/>
    </row>
    <row r="6" spans="1:7" ht="14.25" customHeight="1">
      <c r="A6" s="279"/>
      <c r="B6" s="279"/>
      <c r="C6" s="279"/>
      <c r="D6" s="279"/>
      <c r="E6" s="279"/>
      <c r="F6" s="279"/>
    </row>
    <row r="7" spans="1:7" ht="18" customHeight="1">
      <c r="B7" s="10"/>
      <c r="C7" s="10"/>
      <c r="D7" s="10"/>
      <c r="E7" s="10"/>
      <c r="F7" s="10"/>
      <c r="G7" s="5"/>
    </row>
    <row r="8" spans="1:7" s="5" customFormat="1" ht="27" customHeight="1">
      <c r="A8" s="4"/>
      <c r="B8" s="148"/>
      <c r="C8" s="149" t="s">
        <v>20</v>
      </c>
      <c r="D8" s="149" t="s">
        <v>28</v>
      </c>
      <c r="E8" s="149" t="s">
        <v>29</v>
      </c>
      <c r="F8" s="149" t="s">
        <v>30</v>
      </c>
    </row>
    <row r="9" spans="1:7" s="5" customFormat="1" ht="21" customHeight="1">
      <c r="A9" s="4"/>
      <c r="B9" s="150"/>
      <c r="C9" s="151" t="s">
        <v>31</v>
      </c>
      <c r="D9" s="152"/>
      <c r="E9" s="152"/>
      <c r="F9" s="152"/>
    </row>
    <row r="10" spans="1:7" s="5" customFormat="1" ht="21" customHeight="1">
      <c r="A10" s="4"/>
      <c r="B10" s="153"/>
      <c r="C10" s="154" t="s">
        <v>32</v>
      </c>
      <c r="D10" s="155"/>
      <c r="E10" s="155"/>
      <c r="F10" s="155"/>
    </row>
    <row r="11" spans="1:7" s="5" customFormat="1" ht="36" customHeight="1">
      <c r="A11" s="4"/>
      <c r="B11" s="156"/>
      <c r="C11" s="151" t="s">
        <v>33</v>
      </c>
      <c r="D11" s="152"/>
      <c r="E11" s="152"/>
      <c r="F11" s="152"/>
    </row>
    <row r="12" spans="1:7" s="5" customFormat="1" ht="28.5" customHeight="1">
      <c r="A12" s="4"/>
      <c r="B12" s="157"/>
      <c r="C12" s="154" t="s">
        <v>23</v>
      </c>
      <c r="D12" s="155"/>
      <c r="E12" s="155"/>
      <c r="F12" s="155"/>
    </row>
    <row r="13" spans="1:7" ht="26.25" customHeight="1">
      <c r="B13" s="158"/>
      <c r="C13" s="151" t="s">
        <v>24</v>
      </c>
      <c r="D13" s="152"/>
      <c r="E13" s="152"/>
      <c r="F13" s="152"/>
      <c r="G13" s="5"/>
    </row>
    <row r="14" spans="1:7" ht="46.5" customHeight="1">
      <c r="B14" s="159"/>
      <c r="C14" s="154" t="s">
        <v>25</v>
      </c>
      <c r="D14" s="155"/>
      <c r="E14" s="155"/>
      <c r="F14" s="155"/>
      <c r="G14" s="5"/>
    </row>
    <row r="15" spans="1:7" ht="46.5" customHeight="1">
      <c r="B15" s="160"/>
      <c r="C15" s="151" t="s">
        <v>34</v>
      </c>
      <c r="D15" s="152"/>
      <c r="E15" s="152"/>
      <c r="F15" s="152"/>
      <c r="G15" s="5"/>
    </row>
    <row r="16" spans="1:7" ht="46.5" customHeight="1">
      <c r="B16" s="159"/>
      <c r="C16" s="154" t="s">
        <v>35</v>
      </c>
      <c r="D16" s="155"/>
      <c r="E16" s="155"/>
      <c r="F16" s="155"/>
      <c r="G16" s="5"/>
    </row>
    <row r="17" spans="2:7" ht="46.5" customHeight="1">
      <c r="B17" s="160"/>
      <c r="C17" s="151" t="s">
        <v>36</v>
      </c>
      <c r="D17" s="152"/>
      <c r="E17" s="152"/>
      <c r="F17" s="152"/>
      <c r="G17" s="5"/>
    </row>
    <row r="18" spans="2:7" ht="46.5" customHeight="1">
      <c r="B18" s="159"/>
      <c r="C18" s="154" t="s">
        <v>37</v>
      </c>
      <c r="D18" s="155"/>
      <c r="E18" s="155"/>
      <c r="F18" s="155"/>
      <c r="G18" s="5"/>
    </row>
    <row r="19" spans="2:7" ht="15" customHeight="1">
      <c r="B19" s="11"/>
      <c r="C19" s="12"/>
      <c r="D19" s="13"/>
      <c r="E19" s="14"/>
      <c r="F19" s="15"/>
      <c r="G19" s="5"/>
    </row>
    <row r="20" spans="2:7" ht="15" customHeight="1">
      <c r="B20" s="11"/>
      <c r="C20" s="16"/>
      <c r="D20" s="17"/>
      <c r="E20" s="18"/>
      <c r="F20" s="6"/>
      <c r="G20" s="5"/>
    </row>
    <row r="21" spans="2:7" ht="19.5" customHeight="1">
      <c r="B21" s="11"/>
      <c r="C21" s="19"/>
      <c r="D21" s="18"/>
      <c r="E21" s="20"/>
      <c r="F21" s="21"/>
      <c r="G21" s="5"/>
    </row>
    <row r="22" spans="2:7" ht="19.5" customHeight="1">
      <c r="B22" s="11"/>
      <c r="C22" s="19"/>
      <c r="D22" s="18"/>
      <c r="E22" s="20"/>
      <c r="F22" s="21"/>
      <c r="G22" s="5"/>
    </row>
    <row r="23" spans="2:7" s="9" customFormat="1" ht="20.25" customHeight="1">
      <c r="B23" s="5"/>
      <c r="C23" s="22"/>
      <c r="D23" s="6"/>
      <c r="E23" s="6"/>
      <c r="F23" s="21"/>
      <c r="G23" s="23"/>
    </row>
    <row r="24" spans="2:7" ht="14.25" customHeight="1">
      <c r="B24" s="5"/>
      <c r="C24" s="8"/>
      <c r="D24" s="7"/>
      <c r="E24" s="7"/>
      <c r="F24" s="7"/>
      <c r="G24" s="5"/>
    </row>
  </sheetData>
  <mergeCells count="8">
    <mergeCell ref="A6:F6"/>
    <mergeCell ref="F1:F2"/>
    <mergeCell ref="C5:D5"/>
    <mergeCell ref="A1:C2"/>
    <mergeCell ref="D1:E1"/>
    <mergeCell ref="D2:E2"/>
    <mergeCell ref="A3:F4"/>
    <mergeCell ref="A5:B5"/>
  </mergeCells>
  <hyperlinks>
    <hyperlink ref="F1:F2" location="MENU!A1" tooltip="Ir al Menú" display="◄ MENU" xr:uid="{EEF2A268-7CCC-4262-A229-D6CB93B0AA15}"/>
  </hyperlinks>
  <pageMargins left="0.70833333333333304" right="0.70833333333333304" top="0.74791666666666701" bottom="0.74791666666666701" header="0.511811023622047" footer="0.511811023622047"/>
  <pageSetup scale="85"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D50"/>
  <sheetViews>
    <sheetView zoomScaleNormal="100" workbookViewId="0">
      <pane ySplit="7" topLeftCell="A32" activePane="bottomLeft" state="frozen"/>
      <selection pane="bottomLeft" activeCell="C38" sqref="C38"/>
    </sheetView>
  </sheetViews>
  <sheetFormatPr baseColWidth="10" defaultColWidth="11.42578125" defaultRowHeight="15"/>
  <cols>
    <col min="1" max="1" width="69.42578125" bestFit="1" customWidth="1"/>
    <col min="2" max="2" width="25.7109375" bestFit="1" customWidth="1"/>
    <col min="3" max="3" width="22.85546875" bestFit="1" customWidth="1"/>
    <col min="4" max="4" width="22.28515625" bestFit="1" customWidth="1"/>
  </cols>
  <sheetData>
    <row r="1" spans="1:4">
      <c r="A1" s="524" t="s">
        <v>237</v>
      </c>
      <c r="B1" s="146" t="s">
        <v>287</v>
      </c>
      <c r="C1" s="335" t="s">
        <v>228</v>
      </c>
      <c r="D1" s="335"/>
    </row>
    <row r="2" spans="1:4">
      <c r="A2" s="524"/>
      <c r="B2" s="161" t="s">
        <v>250</v>
      </c>
      <c r="C2" s="335"/>
      <c r="D2" s="335"/>
    </row>
    <row r="3" spans="1:4">
      <c r="A3" s="525" t="s">
        <v>251</v>
      </c>
      <c r="B3" s="525"/>
      <c r="C3" s="525"/>
      <c r="D3" s="525"/>
    </row>
    <row r="4" spans="1:4">
      <c r="A4" s="525"/>
      <c r="B4" s="525"/>
      <c r="C4" s="525"/>
      <c r="D4" s="525"/>
    </row>
    <row r="5" spans="1:4">
      <c r="A5" s="147" t="s">
        <v>230</v>
      </c>
      <c r="B5" s="278"/>
      <c r="C5" s="278"/>
      <c r="D5" s="278"/>
    </row>
    <row r="6" spans="1:4">
      <c r="A6" s="373"/>
      <c r="B6" s="373"/>
      <c r="C6" s="373"/>
      <c r="D6" s="373"/>
    </row>
    <row r="7" spans="1:4" ht="15.75">
      <c r="A7" s="162" t="s">
        <v>26</v>
      </c>
      <c r="B7" s="527"/>
      <c r="C7" s="527"/>
      <c r="D7" s="527"/>
    </row>
    <row r="8" spans="1:4" ht="15.75">
      <c r="A8" s="162" t="s">
        <v>194</v>
      </c>
      <c r="B8" s="527"/>
      <c r="C8" s="527"/>
      <c r="D8" s="527"/>
    </row>
    <row r="9" spans="1:4" ht="15.75">
      <c r="A9" s="162" t="s">
        <v>195</v>
      </c>
      <c r="B9" s="528"/>
      <c r="C9" s="528"/>
      <c r="D9" s="528"/>
    </row>
    <row r="10" spans="1:4" ht="31.5">
      <c r="A10" s="163" t="s">
        <v>196</v>
      </c>
      <c r="B10" s="163" t="s">
        <v>197</v>
      </c>
      <c r="C10" s="163" t="s">
        <v>198</v>
      </c>
      <c r="D10" s="163" t="s">
        <v>199</v>
      </c>
    </row>
    <row r="11" spans="1:4" ht="15.75">
      <c r="A11" s="530"/>
      <c r="B11" s="164"/>
      <c r="C11" s="165"/>
      <c r="D11" s="532"/>
    </row>
    <row r="12" spans="1:4" ht="15.75">
      <c r="A12" s="531"/>
      <c r="B12" s="166"/>
      <c r="C12" s="167"/>
      <c r="D12" s="533"/>
    </row>
    <row r="13" spans="1:4" ht="15.75">
      <c r="A13" s="530"/>
      <c r="B13" s="164"/>
      <c r="C13" s="165"/>
      <c r="D13" s="532"/>
    </row>
    <row r="14" spans="1:4" ht="15.75">
      <c r="A14" s="531"/>
      <c r="B14" s="166"/>
      <c r="C14" s="167"/>
      <c r="D14" s="533"/>
    </row>
    <row r="15" spans="1:4">
      <c r="A15" s="534" t="s">
        <v>56</v>
      </c>
      <c r="B15" s="534"/>
      <c r="C15" s="168">
        <f>SUM(C11:C14)</f>
        <v>0</v>
      </c>
      <c r="D15" s="169">
        <f>SUM(D11:D14)</f>
        <v>0</v>
      </c>
    </row>
    <row r="16" spans="1:4" ht="48.75" customHeight="1">
      <c r="A16" s="170" t="s">
        <v>200</v>
      </c>
      <c r="B16" s="527"/>
      <c r="C16" s="527"/>
      <c r="D16" s="527"/>
    </row>
    <row r="17" spans="1:4" ht="31.5" customHeight="1">
      <c r="A17" s="170" t="s">
        <v>201</v>
      </c>
      <c r="B17" s="527"/>
      <c r="C17" s="527"/>
      <c r="D17" s="527"/>
    </row>
    <row r="18" spans="1:4" ht="33.75" customHeight="1">
      <c r="A18" s="170" t="s">
        <v>202</v>
      </c>
      <c r="B18" s="527"/>
      <c r="C18" s="527"/>
      <c r="D18" s="527"/>
    </row>
    <row r="19" spans="1:4" ht="18.75">
      <c r="A19" s="529" t="s">
        <v>203</v>
      </c>
      <c r="B19" s="529"/>
      <c r="C19" s="529"/>
      <c r="D19" s="529"/>
    </row>
    <row r="20" spans="1:4">
      <c r="A20" s="413" t="s">
        <v>204</v>
      </c>
      <c r="B20" s="535"/>
      <c r="C20" s="98"/>
      <c r="D20" s="526"/>
    </row>
    <row r="21" spans="1:4">
      <c r="A21" s="413"/>
      <c r="B21" s="535"/>
      <c r="C21" s="94" t="s">
        <v>205</v>
      </c>
      <c r="D21" s="526"/>
    </row>
    <row r="22" spans="1:4">
      <c r="A22" s="413"/>
      <c r="B22" s="94" t="s">
        <v>206</v>
      </c>
      <c r="C22" s="98"/>
      <c r="D22" s="94" t="s">
        <v>207</v>
      </c>
    </row>
    <row r="23" spans="1:4">
      <c r="A23" s="413" t="s">
        <v>208</v>
      </c>
      <c r="B23" s="413"/>
      <c r="C23" s="98"/>
      <c r="D23" s="526"/>
    </row>
    <row r="24" spans="1:4">
      <c r="A24" s="413"/>
      <c r="B24" s="413"/>
      <c r="C24" s="94" t="s">
        <v>209</v>
      </c>
      <c r="D24" s="526"/>
    </row>
    <row r="25" spans="1:4">
      <c r="A25" s="413"/>
      <c r="B25" s="94" t="s">
        <v>206</v>
      </c>
      <c r="C25" s="98"/>
      <c r="D25" s="94" t="s">
        <v>207</v>
      </c>
    </row>
    <row r="26" spans="1:4" ht="18.75">
      <c r="A26" s="529" t="s">
        <v>210</v>
      </c>
      <c r="B26" s="529"/>
      <c r="C26" s="529"/>
      <c r="D26" s="529"/>
    </row>
    <row r="27" spans="1:4" ht="24" customHeight="1">
      <c r="A27" s="413" t="s">
        <v>211</v>
      </c>
      <c r="B27" s="413"/>
      <c r="C27" s="98"/>
      <c r="D27" s="526"/>
    </row>
    <row r="28" spans="1:4">
      <c r="A28" s="413"/>
      <c r="B28" s="413"/>
      <c r="C28" s="94" t="s">
        <v>209</v>
      </c>
      <c r="D28" s="526"/>
    </row>
    <row r="29" spans="1:4">
      <c r="A29" s="413"/>
      <c r="B29" s="94" t="s">
        <v>206</v>
      </c>
      <c r="C29" s="98"/>
      <c r="D29" s="94" t="s">
        <v>207</v>
      </c>
    </row>
    <row r="30" spans="1:4">
      <c r="A30" s="413" t="s">
        <v>212</v>
      </c>
      <c r="B30" s="413"/>
      <c r="C30" s="98"/>
      <c r="D30" s="526"/>
    </row>
    <row r="31" spans="1:4">
      <c r="A31" s="413"/>
      <c r="B31" s="413"/>
      <c r="C31" s="94" t="s">
        <v>209</v>
      </c>
      <c r="D31" s="526"/>
    </row>
    <row r="32" spans="1:4">
      <c r="A32" s="413"/>
      <c r="B32" s="94" t="s">
        <v>206</v>
      </c>
      <c r="C32" s="98"/>
      <c r="D32" s="94" t="s">
        <v>207</v>
      </c>
    </row>
    <row r="33" spans="1:4" ht="46.5" customHeight="1">
      <c r="A33" s="413" t="s">
        <v>213</v>
      </c>
      <c r="B33" s="94"/>
      <c r="C33" s="94" t="s">
        <v>209</v>
      </c>
      <c r="D33" s="94"/>
    </row>
    <row r="34" spans="1:4">
      <c r="A34" s="413"/>
      <c r="B34" s="94" t="s">
        <v>206</v>
      </c>
      <c r="C34" s="98" t="s">
        <v>214</v>
      </c>
      <c r="D34" s="94" t="s">
        <v>207</v>
      </c>
    </row>
    <row r="35" spans="1:4" ht="15.75">
      <c r="A35" s="523" t="s">
        <v>215</v>
      </c>
      <c r="B35" s="523"/>
      <c r="C35" s="523"/>
      <c r="D35" s="523"/>
    </row>
    <row r="36" spans="1:4" ht="31.5">
      <c r="A36" s="171" t="s">
        <v>216</v>
      </c>
      <c r="B36" s="171" t="s">
        <v>217</v>
      </c>
      <c r="C36" s="171" t="s">
        <v>218</v>
      </c>
      <c r="D36" s="171" t="s">
        <v>219</v>
      </c>
    </row>
    <row r="37" spans="1:4" ht="45" customHeight="1">
      <c r="A37" s="172"/>
      <c r="B37" s="173"/>
      <c r="C37" s="174" t="str">
        <f>IF(OR(A37="",B37=""),"",A37*B37)</f>
        <v/>
      </c>
      <c r="D37" s="98" t="s">
        <v>220</v>
      </c>
    </row>
    <row r="38" spans="1:4" ht="25.5" customHeight="1"/>
    <row r="39" spans="1:4" ht="18.75" customHeight="1"/>
    <row r="40" spans="1:4" ht="15.75" customHeight="1"/>
    <row r="41" spans="1:4" ht="15.75" customHeight="1"/>
    <row r="46" spans="1:4" ht="15.75" customHeight="1"/>
    <row r="47" spans="1:4" ht="15.75" customHeight="1"/>
    <row r="48" spans="1:4" ht="15.75" customHeight="1"/>
    <row r="49" ht="18.75" customHeight="1"/>
    <row r="50" ht="15" customHeight="1"/>
  </sheetData>
  <mergeCells count="30">
    <mergeCell ref="B9:D9"/>
    <mergeCell ref="A26:D26"/>
    <mergeCell ref="A27:A29"/>
    <mergeCell ref="B27:B28"/>
    <mergeCell ref="D27:D28"/>
    <mergeCell ref="A11:A14"/>
    <mergeCell ref="D11:D14"/>
    <mergeCell ref="B16:D16"/>
    <mergeCell ref="B17:D17"/>
    <mergeCell ref="B18:D18"/>
    <mergeCell ref="A15:B15"/>
    <mergeCell ref="A19:D19"/>
    <mergeCell ref="A20:A22"/>
    <mergeCell ref="B20:B21"/>
    <mergeCell ref="A33:A34"/>
    <mergeCell ref="A35:D35"/>
    <mergeCell ref="A1:A2"/>
    <mergeCell ref="C1:D2"/>
    <mergeCell ref="A3:D4"/>
    <mergeCell ref="B5:D5"/>
    <mergeCell ref="A6:D6"/>
    <mergeCell ref="D20:D21"/>
    <mergeCell ref="A23:A25"/>
    <mergeCell ref="B23:B24"/>
    <mergeCell ref="D23:D24"/>
    <mergeCell ref="A30:A32"/>
    <mergeCell ref="B30:B31"/>
    <mergeCell ref="D30:D31"/>
    <mergeCell ref="B7:D7"/>
    <mergeCell ref="B8:D8"/>
  </mergeCells>
  <hyperlinks>
    <hyperlink ref="C1:D2" location="MENU!A1" tooltip="Ir al Menú" display="◄ MENU" xr:uid="{8A2C1399-C5B0-4060-8C30-6958A7382CDA}"/>
  </hyperlinks>
  <pageMargins left="0.70833333333333304" right="0.70833333333333304" top="0.74791666666666701" bottom="0.74791666666666701" header="0.511811023622047" footer="0.511811023622047"/>
  <pageSetup scale="7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12</vt:i4>
      </vt:variant>
    </vt:vector>
  </HeadingPairs>
  <TitlesOfParts>
    <vt:vector size="25" baseType="lpstr">
      <vt:lpstr>CARÁTULA</vt:lpstr>
      <vt:lpstr>INTRODUCCIÓN</vt:lpstr>
      <vt:lpstr>MENU</vt:lpstr>
      <vt:lpstr>AREA A 1.1.</vt:lpstr>
      <vt:lpstr>AREA A 1.2</vt:lpstr>
      <vt:lpstr>AREA B 2.1</vt:lpstr>
      <vt:lpstr>AREA 2.2</vt:lpstr>
      <vt:lpstr>AREA B 2.3</vt:lpstr>
      <vt:lpstr>AREA B 2.4</vt:lpstr>
      <vt:lpstr>AREA B 2.5</vt:lpstr>
      <vt:lpstr>AREA C 3.1.</vt:lpstr>
      <vt:lpstr>AREA C 3.2.</vt:lpstr>
      <vt:lpstr>AREA C 3.3. </vt:lpstr>
      <vt:lpstr>'AREA 2.2'!Área_de_impresión</vt:lpstr>
      <vt:lpstr>'AREA A 1.2'!Área_de_impresión</vt:lpstr>
      <vt:lpstr>'AREA B 2.1'!Área_de_impresión</vt:lpstr>
      <vt:lpstr>'AREA B 2.3'!Área_de_impresión</vt:lpstr>
      <vt:lpstr>'AREA B 2.4'!Área_de_impresión</vt:lpstr>
      <vt:lpstr>'AREA B 2.5'!Área_de_impresión</vt:lpstr>
      <vt:lpstr>'AREA C 3.1.'!Área_de_impresión</vt:lpstr>
      <vt:lpstr>'AREA C 3.2.'!Área_de_impresión</vt:lpstr>
      <vt:lpstr>'AREA C 3.3. '!Área_de_impresión</vt:lpstr>
      <vt:lpstr>CARÁTULA!Área_de_impresión</vt:lpstr>
      <vt:lpstr>INTRODUCCIÓN!Área_de_impresión</vt:lpstr>
      <vt:lpstr>MENU!Área_de_impresión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Thaly Fernandez J.</dc:creator>
  <dc:description/>
  <cp:lastModifiedBy>José Luis Escobar Guevara</cp:lastModifiedBy>
  <cp:revision>0</cp:revision>
  <cp:lastPrinted>2024-09-13T13:02:09Z</cp:lastPrinted>
  <dcterms:created xsi:type="dcterms:W3CDTF">2024-05-28T18:56:19Z</dcterms:created>
  <dcterms:modified xsi:type="dcterms:W3CDTF">2026-08-04T16:35:00Z</dcterms:modified>
  <dc:language>en-US</dc:language>
</cp:coreProperties>
</file>